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-21-2026" sheetId="1" r:id="rId5"/>
    <sheet state="visible" name="02-22-2026" sheetId="2" r:id="rId6"/>
    <sheet state="visible" name="02-23-2026" sheetId="3" r:id="rId7"/>
    <sheet state="visible" name="02-24-2026" sheetId="4" r:id="rId8"/>
    <sheet state="visible" name="02-25-2026" sheetId="5" r:id="rId9"/>
    <sheet state="visible" name="02-26-2026" sheetId="6" r:id="rId10"/>
    <sheet state="visible" name="02-27-2026" sheetId="7" r:id="rId11"/>
    <sheet state="visible" name="02-28-2026" sheetId="8" r:id="rId12"/>
    <sheet state="visible" name="03-01-2026" sheetId="9" r:id="rId13"/>
    <sheet state="visible" name="03-02-2026" sheetId="10" r:id="rId14"/>
  </sheets>
  <definedNames/>
  <calcPr/>
</workbook>
</file>

<file path=xl/sharedStrings.xml><?xml version="1.0" encoding="utf-8"?>
<sst xmlns="http://schemas.openxmlformats.org/spreadsheetml/2006/main" count="927" uniqueCount="578">
  <si>
    <t>DATE</t>
  </si>
  <si>
    <t>START TIME</t>
  </si>
  <si>
    <t>AWAY TEAM</t>
  </si>
  <si>
    <t>AWAY MODEL LINE</t>
  </si>
  <si>
    <t>HOME TEAM</t>
  </si>
  <si>
    <t>HOME MODEL LINE</t>
  </si>
  <si>
    <t>MODEL TOTAL</t>
  </si>
  <si>
    <t>Iowa State</t>
  </si>
  <si>
    <t>BYU</t>
  </si>
  <si>
    <t>Northern Arizona</t>
  </si>
  <si>
    <t>Northern Colorado</t>
  </si>
  <si>
    <t>Wyoming</t>
  </si>
  <si>
    <t>Grand Canyon</t>
  </si>
  <si>
    <t>Illinois State</t>
  </si>
  <si>
    <t>Bradley</t>
  </si>
  <si>
    <t>Providence</t>
  </si>
  <si>
    <t>DePaul</t>
  </si>
  <si>
    <t>South Dakota</t>
  </si>
  <si>
    <t>Oral Roberts</t>
  </si>
  <si>
    <t>Illinois</t>
  </si>
  <si>
    <t>UCLA</t>
  </si>
  <si>
    <t>Indiana State</t>
  </si>
  <si>
    <t>Belmont</t>
  </si>
  <si>
    <t>Pepperdine</t>
  </si>
  <si>
    <t>Oregon State</t>
  </si>
  <si>
    <t>New Mexico</t>
  </si>
  <si>
    <t>Fresno State</t>
  </si>
  <si>
    <t>Texas A&amp;M</t>
  </si>
  <si>
    <t>Oklahoma</t>
  </si>
  <si>
    <t>Kentucky</t>
  </si>
  <si>
    <t>Auburn</t>
  </si>
  <si>
    <t>CSU Northridge</t>
  </si>
  <si>
    <t>Long Beach State</t>
  </si>
  <si>
    <t>Pacific</t>
  </si>
  <si>
    <t>Gonzaga</t>
  </si>
  <si>
    <t>Central Florida</t>
  </si>
  <si>
    <t>Utah</t>
  </si>
  <si>
    <t>UTEP</t>
  </si>
  <si>
    <t>New Mexico State</t>
  </si>
  <si>
    <t>CS Fullerton</t>
  </si>
  <si>
    <t>CS Bakersfield</t>
  </si>
  <si>
    <t>Montana</t>
  </si>
  <si>
    <t>Weber State</t>
  </si>
  <si>
    <t>Utah State</t>
  </si>
  <si>
    <t>Nevada</t>
  </si>
  <si>
    <t>Portland</t>
  </si>
  <si>
    <t>Seattle</t>
  </si>
  <si>
    <t>Santa Clara</t>
  </si>
  <si>
    <t>San Francisco</t>
  </si>
  <si>
    <t>Idaho</t>
  </si>
  <si>
    <t>Sacramento State</t>
  </si>
  <si>
    <t>UC San Diego</t>
  </si>
  <si>
    <t>UC Irvine</t>
  </si>
  <si>
    <t>Saint Mary's CA</t>
  </si>
  <si>
    <t>Washington State</t>
  </si>
  <si>
    <t>UC Santa Barbara</t>
  </si>
  <si>
    <t>Hawaii</t>
  </si>
  <si>
    <t>10:00a</t>
  </si>
  <si>
    <t>Iona</t>
  </si>
  <si>
    <t>Merrimack</t>
  </si>
  <si>
    <t>Green Bay</t>
  </si>
  <si>
    <t>Detroit Mercy</t>
  </si>
  <si>
    <t>1:00p</t>
  </si>
  <si>
    <t>Iowa</t>
  </si>
  <si>
    <t>pk</t>
  </si>
  <si>
    <t>Wisconsin</t>
  </si>
  <si>
    <t>9:00a</t>
  </si>
  <si>
    <t>UAB</t>
  </si>
  <si>
    <t>Memphis</t>
  </si>
  <si>
    <t>Niagara</t>
  </si>
  <si>
    <t>Rider</t>
  </si>
  <si>
    <t>Ohio State</t>
  </si>
  <si>
    <t>Michigan State</t>
  </si>
  <si>
    <t>11:00a</t>
  </si>
  <si>
    <t>Northern Kentucky</t>
  </si>
  <si>
    <t>Youngstown State</t>
  </si>
  <si>
    <t>Rice</t>
  </si>
  <si>
    <t>Tulane</t>
  </si>
  <si>
    <t>Saint Peter's</t>
  </si>
  <si>
    <t>Siena</t>
  </si>
  <si>
    <t>Towson</t>
  </si>
  <si>
    <t>Drexel</t>
  </si>
  <si>
    <t>Fairfield</t>
  </si>
  <si>
    <t>Quinnipiac</t>
  </si>
  <si>
    <t>Robert Morris</t>
  </si>
  <si>
    <t>Wright State</t>
  </si>
  <si>
    <t>IPFW</t>
  </si>
  <si>
    <t>Cleveland State</t>
  </si>
  <si>
    <t>Sacred Heart</t>
  </si>
  <si>
    <t>Marist</t>
  </si>
  <si>
    <t>Canisius</t>
  </si>
  <si>
    <t>Mount St. Mary's</t>
  </si>
  <si>
    <t>12:00p</t>
  </si>
  <si>
    <t>Milwaukee</t>
  </si>
  <si>
    <t>Oakland</t>
  </si>
  <si>
    <t>Florida Atlantic</t>
  </si>
  <si>
    <t>North Texas</t>
  </si>
  <si>
    <t>UTSA</t>
  </si>
  <si>
    <t>Tulsa</t>
  </si>
  <si>
    <t>4:00p</t>
  </si>
  <si>
    <t>Louisville</t>
  </si>
  <si>
    <t>North Carolina</t>
  </si>
  <si>
    <t>6:00p</t>
  </si>
  <si>
    <t>Houston</t>
  </si>
  <si>
    <t>Kansas</t>
  </si>
  <si>
    <t>West Virginia</t>
  </si>
  <si>
    <t>Oklahoma State</t>
  </si>
  <si>
    <t>3:30p</t>
  </si>
  <si>
    <t>Washington</t>
  </si>
  <si>
    <t>Rutgers</t>
  </si>
  <si>
    <t>Miami Ohio</t>
  </si>
  <si>
    <t>Eastern Michigan</t>
  </si>
  <si>
    <t>George Washington</t>
  </si>
  <si>
    <t>La Salle</t>
  </si>
  <si>
    <t>Saint Louis</t>
  </si>
  <si>
    <t>Dayton</t>
  </si>
  <si>
    <t>Northwestern</t>
  </si>
  <si>
    <t>Indiana</t>
  </si>
  <si>
    <t>Duke</t>
  </si>
  <si>
    <t>Notre Dame</t>
  </si>
  <si>
    <t>Marquette</t>
  </si>
  <si>
    <t>Georgetown</t>
  </si>
  <si>
    <t>NC State</t>
  </si>
  <si>
    <t>Virginia</t>
  </si>
  <si>
    <t>Wake Forest</t>
  </si>
  <si>
    <t>Boston College</t>
  </si>
  <si>
    <t>Cincinnati</t>
  </si>
  <si>
    <t>Texas Tech</t>
  </si>
  <si>
    <t>South Carolina</t>
  </si>
  <si>
    <t>Old Dominion</t>
  </si>
  <si>
    <t>Marshall</t>
  </si>
  <si>
    <t>Buffalo</t>
  </si>
  <si>
    <t>Akron</t>
  </si>
  <si>
    <t>Massachusetts</t>
  </si>
  <si>
    <t>Ball State</t>
  </si>
  <si>
    <t>Central Michigan</t>
  </si>
  <si>
    <t>Kent State</t>
  </si>
  <si>
    <t>Western Michigan</t>
  </si>
  <si>
    <t>Bowling Green</t>
  </si>
  <si>
    <t>UL Lafayette</t>
  </si>
  <si>
    <t>Troy</t>
  </si>
  <si>
    <t>Northern Illinois</t>
  </si>
  <si>
    <t>Toledo</t>
  </si>
  <si>
    <t>4:30p</t>
  </si>
  <si>
    <t>Xavier</t>
  </si>
  <si>
    <t>Coastal Carolina</t>
  </si>
  <si>
    <t>Georgia State</t>
  </si>
  <si>
    <t>Southern Indiana</t>
  </si>
  <si>
    <t>Morehead State</t>
  </si>
  <si>
    <t>5:00p</t>
  </si>
  <si>
    <t>Illinois Chicago</t>
  </si>
  <si>
    <t>5:30p</t>
  </si>
  <si>
    <t>Southern Miss</t>
  </si>
  <si>
    <t>Arkansas State</t>
  </si>
  <si>
    <t>Minnesota</t>
  </si>
  <si>
    <t>Michigan</t>
  </si>
  <si>
    <t>Colorado State</t>
  </si>
  <si>
    <t>San Jose State</t>
  </si>
  <si>
    <t>Air Force</t>
  </si>
  <si>
    <t>Miami Florida</t>
  </si>
  <si>
    <t>Florida State</t>
  </si>
  <si>
    <t>Arizona State</t>
  </si>
  <si>
    <t>TCU</t>
  </si>
  <si>
    <t>Arizona</t>
  </si>
  <si>
    <t>Baylor</t>
  </si>
  <si>
    <t>Boise State</t>
  </si>
  <si>
    <t>Tennessee</t>
  </si>
  <si>
    <t>Missouri</t>
  </si>
  <si>
    <t>8:00p</t>
  </si>
  <si>
    <t>USC</t>
  </si>
  <si>
    <t>3:00p</t>
  </si>
  <si>
    <t>The Citadel</t>
  </si>
  <si>
    <t>Furman</t>
  </si>
  <si>
    <t>IU Indianapolis</t>
  </si>
  <si>
    <t>George Mason</t>
  </si>
  <si>
    <t>St. Joseph's</t>
  </si>
  <si>
    <t>Northern Iowa</t>
  </si>
  <si>
    <t>Rhode Island</t>
  </si>
  <si>
    <t>St. Bonaventure</t>
  </si>
  <si>
    <t>Butler</t>
  </si>
  <si>
    <t>Villanova</t>
  </si>
  <si>
    <t>Charlotte</t>
  </si>
  <si>
    <t>Mercer</t>
  </si>
  <si>
    <t>Western Carolina</t>
  </si>
  <si>
    <t>Nebraska Omaha</t>
  </si>
  <si>
    <t>Florida</t>
  </si>
  <si>
    <t>Texas</t>
  </si>
  <si>
    <t>Wofford</t>
  </si>
  <si>
    <t>East Tennessee St.</t>
  </si>
  <si>
    <t>St. John's</t>
  </si>
  <si>
    <t>Connecticut</t>
  </si>
  <si>
    <t>Georgia</t>
  </si>
  <si>
    <t>Vanderbilt</t>
  </si>
  <si>
    <t>Maryland</t>
  </si>
  <si>
    <t>Nebraska</t>
  </si>
  <si>
    <t>Davidson</t>
  </si>
  <si>
    <t>Duquesne</t>
  </si>
  <si>
    <t>Evansville</t>
  </si>
  <si>
    <t>Pittsburgh</t>
  </si>
  <si>
    <t>Stanford</t>
  </si>
  <si>
    <t>Drake</t>
  </si>
  <si>
    <t>Valparaiso</t>
  </si>
  <si>
    <t>South Florida</t>
  </si>
  <si>
    <t>East Carolina</t>
  </si>
  <si>
    <t>Georgia Southern</t>
  </si>
  <si>
    <t>James Madison</t>
  </si>
  <si>
    <t>Southern Illinois</t>
  </si>
  <si>
    <t>UL Monroe</t>
  </si>
  <si>
    <t>South Alabama</t>
  </si>
  <si>
    <t>Arkansas</t>
  </si>
  <si>
    <t>Mississippi State</t>
  </si>
  <si>
    <t>Alabama</t>
  </si>
  <si>
    <t>Creighton</t>
  </si>
  <si>
    <t>LSU</t>
  </si>
  <si>
    <t>Mississippi</t>
  </si>
  <si>
    <t>UNLV</t>
  </si>
  <si>
    <t>Kansas State</t>
  </si>
  <si>
    <t>Colorado</t>
  </si>
  <si>
    <t>7:00p</t>
  </si>
  <si>
    <t>SMU</t>
  </si>
  <si>
    <t>California</t>
  </si>
  <si>
    <t>San Diego</t>
  </si>
  <si>
    <t>San Diego State</t>
  </si>
  <si>
    <t>Oregon</t>
  </si>
  <si>
    <t>Loyola Marymount</t>
  </si>
  <si>
    <t>8:00a</t>
  </si>
  <si>
    <t>Coll Of Charleston</t>
  </si>
  <si>
    <t>Hampton</t>
  </si>
  <si>
    <t>2:00p</t>
  </si>
  <si>
    <t>Liberty</t>
  </si>
  <si>
    <t>Kennesaw State</t>
  </si>
  <si>
    <t>Stony Brook</t>
  </si>
  <si>
    <t>Monmouth</t>
  </si>
  <si>
    <t>Temple</t>
  </si>
  <si>
    <t>UNC Greensboro</t>
  </si>
  <si>
    <t>Chattanooga</t>
  </si>
  <si>
    <t>Delaware</t>
  </si>
  <si>
    <t>Jacksonville State</t>
  </si>
  <si>
    <t>Elon University</t>
  </si>
  <si>
    <t>Campbell</t>
  </si>
  <si>
    <t>Northeastern</t>
  </si>
  <si>
    <t>William &amp; Mary</t>
  </si>
  <si>
    <t>North Carolina A&amp;T</t>
  </si>
  <si>
    <t>NC Wilmington</t>
  </si>
  <si>
    <t>Western Kentucky</t>
  </si>
  <si>
    <t>Missouri State</t>
  </si>
  <si>
    <t>Louisiana Tech</t>
  </si>
  <si>
    <t>Middle Tennessee St.</t>
  </si>
  <si>
    <t>Denver</t>
  </si>
  <si>
    <t>South Dakota State</t>
  </si>
  <si>
    <t>UMKC</t>
  </si>
  <si>
    <t>Tarleton State</t>
  </si>
  <si>
    <t>Utah Valley</t>
  </si>
  <si>
    <t>Little Rock</t>
  </si>
  <si>
    <t>Purdue</t>
  </si>
  <si>
    <t>VMI</t>
  </si>
  <si>
    <t>Samford</t>
  </si>
  <si>
    <t>Eastern Illinois</t>
  </si>
  <si>
    <t>Lindenwood</t>
  </si>
  <si>
    <t>Tennessee State</t>
  </si>
  <si>
    <t>SE Missouri State</t>
  </si>
  <si>
    <t>Tennessee Tech</t>
  </si>
  <si>
    <t>UT Martin</t>
  </si>
  <si>
    <t>Western Illinois</t>
  </si>
  <si>
    <t>SIU Edwardsville</t>
  </si>
  <si>
    <t>Wichita State</t>
  </si>
  <si>
    <t>North Dakota State</t>
  </si>
  <si>
    <t>St. Thomas (MN)</t>
  </si>
  <si>
    <t>Florida International</t>
  </si>
  <si>
    <t>Sam Houston St.</t>
  </si>
  <si>
    <t>Abilene Christian</t>
  </si>
  <si>
    <t>Utah Tech</t>
  </si>
  <si>
    <t>UC Davis</t>
  </si>
  <si>
    <t>UC Riverside</t>
  </si>
  <si>
    <t>Eastern Washington</t>
  </si>
  <si>
    <t>Portland State</t>
  </si>
  <si>
    <t>Montana State</t>
  </si>
  <si>
    <t>Cal Poly SLO</t>
  </si>
  <si>
    <t>UT Arlington</t>
  </si>
  <si>
    <t>California Baptist</t>
  </si>
  <si>
    <t>TIME (EST)</t>
  </si>
  <si>
    <t>AWAY MODEL SPREAD</t>
  </si>
  <si>
    <t>AWAY BOOK SPREAD</t>
  </si>
  <si>
    <t>HOME MODEL SPREAD</t>
  </si>
  <si>
    <t>HOME BOOK SPREAD</t>
  </si>
  <si>
    <t>BOOK TOTAL</t>
  </si>
  <si>
    <t>SPREAD EDGE</t>
  </si>
  <si>
    <t>SPREAD DIFF</t>
  </si>
  <si>
    <t>TOTAL EDGE</t>
  </si>
  <si>
    <t>TOTAL DIFF</t>
  </si>
  <si>
    <t>Miami (OH)</t>
  </si>
  <si>
    <t>Yale</t>
  </si>
  <si>
    <t>Cornell</t>
  </si>
  <si>
    <t>Brown</t>
  </si>
  <si>
    <t>Columbia</t>
  </si>
  <si>
    <t>Dartmouth</t>
  </si>
  <si>
    <t>Pennsylvania</t>
  </si>
  <si>
    <t>Mount Saint Marys</t>
  </si>
  <si>
    <t>Appalachian State</t>
  </si>
  <si>
    <t>Texas State</t>
  </si>
  <si>
    <t>Louisiana</t>
  </si>
  <si>
    <t>NC STATE</t>
  </si>
  <si>
    <t>NOTRE DAME</t>
  </si>
  <si>
    <t>VIRGINIA</t>
  </si>
  <si>
    <t>DUKE</t>
  </si>
  <si>
    <t>TENNESSEE STATE</t>
  </si>
  <si>
    <t>UT MARTIN</t>
  </si>
  <si>
    <t>IOWA</t>
  </si>
  <si>
    <t>PENN STATE</t>
  </si>
  <si>
    <t>SETON HALL</t>
  </si>
  <si>
    <t>CONNECTICUT</t>
  </si>
  <si>
    <t>FLORIDA STATE</t>
  </si>
  <si>
    <t>GEORGIA TECH</t>
  </si>
  <si>
    <t>ST. JOSEPH'S</t>
  </si>
  <si>
    <t>RHODE ISLAND</t>
  </si>
  <si>
    <t>COLORADO</t>
  </si>
  <si>
    <t>HOUSTON</t>
  </si>
  <si>
    <t>FORDHAM</t>
  </si>
  <si>
    <t>VCU</t>
  </si>
  <si>
    <t>MISSOURI</t>
  </si>
  <si>
    <t>MISSISSIPPI STATE</t>
  </si>
  <si>
    <t>NEW MEXICO STATE</t>
  </si>
  <si>
    <t>MIDDLE TENNESSEE ST.</t>
  </si>
  <si>
    <t>CLEVELAND STATE</t>
  </si>
  <si>
    <t>ROBERT MORRIS</t>
  </si>
  <si>
    <t>GEORGETOWN</t>
  </si>
  <si>
    <t>XAVIER</t>
  </si>
  <si>
    <t>MASSACHUSETTS</t>
  </si>
  <si>
    <t>BOWLING GREEN</t>
  </si>
  <si>
    <t>MINNESOTA</t>
  </si>
  <si>
    <t>CAMPBELL</t>
  </si>
  <si>
    <t>TOWSON</t>
  </si>
  <si>
    <t>SOUTH DAKOTA STATE</t>
  </si>
  <si>
    <t>SOUTH DAKOTA</t>
  </si>
  <si>
    <t>IU INDIANAPOLIS</t>
  </si>
  <si>
    <t>WILLIAM &amp; MARY</t>
  </si>
  <si>
    <t>NORTH CAROLINA A&amp;T</t>
  </si>
  <si>
    <t>OKLAHOMA STATE</t>
  </si>
  <si>
    <t>CINCINNATI</t>
  </si>
  <si>
    <t>OREGON</t>
  </si>
  <si>
    <t>NORTHWESTERN</t>
  </si>
  <si>
    <t>CENTRAL MICHIGAN</t>
  </si>
  <si>
    <t>BUFFALO</t>
  </si>
  <si>
    <t>BOSTON COLLEGE</t>
  </si>
  <si>
    <t>MIAMI FLORIDA</t>
  </si>
  <si>
    <t>VANDERBILT</t>
  </si>
  <si>
    <t>KENTUCKY</t>
  </si>
  <si>
    <t>SAN DIEGO STATE</t>
  </si>
  <si>
    <t>NEW MEXICO</t>
  </si>
  <si>
    <t>YOUNGSTOWN STATE</t>
  </si>
  <si>
    <t>GREEN BAY</t>
  </si>
  <si>
    <t>ST. BONAVENTURE</t>
  </si>
  <si>
    <t>GEORGE MASON</t>
  </si>
  <si>
    <t>CHATTANOOGA</t>
  </si>
  <si>
    <t>THE CITADEL</t>
  </si>
  <si>
    <t>WOFFORD</t>
  </si>
  <si>
    <t>LOUISVILLE</t>
  </si>
  <si>
    <t>CLEMSON</t>
  </si>
  <si>
    <t>SACRAMENTO STATE</t>
  </si>
  <si>
    <t>MONTANA STATE</t>
  </si>
  <si>
    <t>DETROIT MERCY</t>
  </si>
  <si>
    <t>OAKLAND</t>
  </si>
  <si>
    <t>FLORIDA INTERNATIONAL</t>
  </si>
  <si>
    <t>LOUISIANA TECH</t>
  </si>
  <si>
    <t>ELON UNIVERSITY</t>
  </si>
  <si>
    <t>MONMOUTH</t>
  </si>
  <si>
    <t>WESTERN KENTUCKY</t>
  </si>
  <si>
    <t>SOUTH CAROLINA</t>
  </si>
  <si>
    <t>GEORGIA</t>
  </si>
  <si>
    <t>UTAH</t>
  </si>
  <si>
    <t>ARIZONA STATE</t>
  </si>
  <si>
    <t>RICHMOND</t>
  </si>
  <si>
    <t>LOYOLA CHICAGO</t>
  </si>
  <si>
    <t>TEXAS TECH</t>
  </si>
  <si>
    <t>IOWA STATE</t>
  </si>
  <si>
    <t>NORTHERN COLORADO</t>
  </si>
  <si>
    <t>IDAHO</t>
  </si>
  <si>
    <t>BALL STATE</t>
  </si>
  <si>
    <t>NORTHERN ILLINOIS</t>
  </si>
  <si>
    <t>SAN DIEGO</t>
  </si>
  <si>
    <t>PORTLAND</t>
  </si>
  <si>
    <t>PORTLAND STATE</t>
  </si>
  <si>
    <t>MONTANA</t>
  </si>
  <si>
    <t>TOLEDO</t>
  </si>
  <si>
    <t>OHIO</t>
  </si>
  <si>
    <t>NEBRASKA</t>
  </si>
  <si>
    <t>KANSAS</t>
  </si>
  <si>
    <t>ARIZONA</t>
  </si>
  <si>
    <t>VALPARAISO</t>
  </si>
  <si>
    <t>EVANSVILLE</t>
  </si>
  <si>
    <t>NORTHEASTERN</t>
  </si>
  <si>
    <t>HAMPTON</t>
  </si>
  <si>
    <t>SOUTHERN INDIANA</t>
  </si>
  <si>
    <t>LITTLE ROCK</t>
  </si>
  <si>
    <t>NORTHERN ARIZONA</t>
  </si>
  <si>
    <t>EASTERN WASHINGTON</t>
  </si>
  <si>
    <t>ABILENE CHRISTIAN</t>
  </si>
  <si>
    <t>UTAH VALLEY</t>
  </si>
  <si>
    <t>TEXAS</t>
  </si>
  <si>
    <t>TEXAS A&amp;M</t>
  </si>
  <si>
    <t>WISCONSIN</t>
  </si>
  <si>
    <t>WASHINGTON</t>
  </si>
  <si>
    <t>PITTSBURGH</t>
  </si>
  <si>
    <t>CALIFORNIA</t>
  </si>
  <si>
    <t>AIR FORCE</t>
  </si>
  <si>
    <t>WYOMING</t>
  </si>
  <si>
    <t>LINDENWOOD</t>
  </si>
  <si>
    <t>WESTERN ILLINOIS</t>
  </si>
  <si>
    <t>EASTERN ILLINOIS</t>
  </si>
  <si>
    <t>SIU EDWARDSVILLE</t>
  </si>
  <si>
    <t>EAST TENNESSEE ST.</t>
  </si>
  <si>
    <t>MERCER</t>
  </si>
  <si>
    <t>TENNESSEE TECH</t>
  </si>
  <si>
    <t>SE MISSOURI STATE</t>
  </si>
  <si>
    <t>COLORADO STATE</t>
  </si>
  <si>
    <t>SAN JOSE STATE</t>
  </si>
  <si>
    <t>NORTH DAKOTA</t>
  </si>
  <si>
    <t>NORTH DAKOTA STATE</t>
  </si>
  <si>
    <t>DELAWARE</t>
  </si>
  <si>
    <t>KENNESAW STATE</t>
  </si>
  <si>
    <t>PROVIDENCE</t>
  </si>
  <si>
    <t>CREIGHTON</t>
  </si>
  <si>
    <t>MISSOURI STATE</t>
  </si>
  <si>
    <t>SAM HOUSTON ST.</t>
  </si>
  <si>
    <t>FURMAN</t>
  </si>
  <si>
    <t>WESTERN CAROLINA</t>
  </si>
  <si>
    <t>WEST VIRGINIA</t>
  </si>
  <si>
    <t>SYRACUSE</t>
  </si>
  <si>
    <t>WAKE FOREST</t>
  </si>
  <si>
    <t>OKLAHOMA</t>
  </si>
  <si>
    <t>STANFORD</t>
  </si>
  <si>
    <t>UNC GREENSBORO</t>
  </si>
  <si>
    <t>SAMFORD</t>
  </si>
  <si>
    <t>LIBERTY</t>
  </si>
  <si>
    <t>JACKSONVILLE STATE</t>
  </si>
  <si>
    <t>SAN FRANCISCO</t>
  </si>
  <si>
    <t>PACIFIC</t>
  </si>
  <si>
    <t>WEBER STATE</t>
  </si>
  <si>
    <t>IDAHO STATE</t>
  </si>
  <si>
    <t>ALABAMA</t>
  </si>
  <si>
    <t>TENNESSEE</t>
  </si>
  <si>
    <t>KANSAS STATE</t>
  </si>
  <si>
    <t>WRIGHT STATE</t>
  </si>
  <si>
    <t>NORTHERN KENTUCKY</t>
  </si>
  <si>
    <t>HAWAII</t>
  </si>
  <si>
    <t>CS FULLERTON</t>
  </si>
  <si>
    <t>STONY BROOK</t>
  </si>
  <si>
    <t>HOFSTRA</t>
  </si>
  <si>
    <t>BOISE STATE</t>
  </si>
  <si>
    <t>FRESNO STATE</t>
  </si>
  <si>
    <t>WASHINGTON STATE</t>
  </si>
  <si>
    <t>PEPPERDINE</t>
  </si>
  <si>
    <t>ORAL ROBERTS</t>
  </si>
  <si>
    <t>NEBRASKA OMAHA</t>
  </si>
  <si>
    <t>ST. THOMAS (MN)</t>
  </si>
  <si>
    <t>OREGON STATE</t>
  </si>
  <si>
    <t>SANTA CLARA</t>
  </si>
  <si>
    <t>BAYLOR</t>
  </si>
  <si>
    <t>CENTRAL FLORIDA</t>
  </si>
  <si>
    <t>CSU NORTHRIDGE</t>
  </si>
  <si>
    <t>UC RIVERSIDE</t>
  </si>
  <si>
    <t>VILLANOVA</t>
  </si>
  <si>
    <t>ST. JOHN'S</t>
  </si>
  <si>
    <t>DUQUESNE</t>
  </si>
  <si>
    <t>SAINT LOUIS</t>
  </si>
  <si>
    <t>MISSISSIPPI</t>
  </si>
  <si>
    <t>AUBURN</t>
  </si>
  <si>
    <t>ARKANSAS</t>
  </si>
  <si>
    <t>FLORIDA</t>
  </si>
  <si>
    <t>UTAH TECH</t>
  </si>
  <si>
    <t>SOUTHERN UTAH</t>
  </si>
  <si>
    <t>VIRGINIA TECH</t>
  </si>
  <si>
    <t>NORTH CAROLINA</t>
  </si>
  <si>
    <t>TARLETON STATE</t>
  </si>
  <si>
    <t>CALIFORNIA BAPTIST</t>
  </si>
  <si>
    <t>SEATTLE</t>
  </si>
  <si>
    <t>LOYOLA MARYMOUNT</t>
  </si>
  <si>
    <t>LONG BEACH STATE</t>
  </si>
  <si>
    <t>CS BAKERSFIELD</t>
  </si>
  <si>
    <t>NEVADA</t>
  </si>
  <si>
    <t>GRAND CANYON</t>
  </si>
  <si>
    <t>UTAH STATE</t>
  </si>
  <si>
    <t>CAL POLY SLO</t>
  </si>
  <si>
    <t>UC SAN DIEGO</t>
  </si>
  <si>
    <t>UC SANTA BARBARA</t>
  </si>
  <si>
    <t>UC IRVINE</t>
  </si>
  <si>
    <t>GONZAGA</t>
  </si>
  <si>
    <t>SAINT MARY'S CA</t>
  </si>
  <si>
    <t>date</t>
  </si>
  <si>
    <t>start_time_est</t>
  </si>
  <si>
    <t>away_team</t>
  </si>
  <si>
    <t>away_book_spread</t>
  </si>
  <si>
    <t>away_model_spread</t>
  </si>
  <si>
    <t>home_team</t>
  </si>
  <si>
    <t>home_book_spread</t>
  </si>
  <si>
    <t>home_model_spread</t>
  </si>
  <si>
    <t>book_total</t>
  </si>
  <si>
    <t>model_total</t>
  </si>
  <si>
    <t>spread_edge</t>
  </si>
  <si>
    <t>spread_diff</t>
  </si>
  <si>
    <t>total_edge</t>
  </si>
  <si>
    <t>total_diff</t>
  </si>
  <si>
    <t>03012026</t>
  </si>
  <si>
    <t>1200</t>
  </si>
  <si>
    <t>north_texas</t>
  </si>
  <si>
    <t>uab</t>
  </si>
  <si>
    <t>rutgers</t>
  </si>
  <si>
    <t>maryland</t>
  </si>
  <si>
    <t>tulane</t>
  </si>
  <si>
    <t>south_florida</t>
  </si>
  <si>
    <t>la_salle</t>
  </si>
  <si>
    <t>davidson</t>
  </si>
  <si>
    <t>1300</t>
  </si>
  <si>
    <t>illinois_chicago</t>
  </si>
  <si>
    <t>indiana_state</t>
  </si>
  <si>
    <t>quinnipiac</t>
  </si>
  <si>
    <t>canisius</t>
  </si>
  <si>
    <t>1330</t>
  </si>
  <si>
    <t>purdue</t>
  </si>
  <si>
    <t>ohio_state</t>
  </si>
  <si>
    <t>1400</t>
  </si>
  <si>
    <t>rice</t>
  </si>
  <si>
    <t>temple</t>
  </si>
  <si>
    <t>mount_st_marys</t>
  </si>
  <si>
    <t>fairfield</t>
  </si>
  <si>
    <t>iona</t>
  </si>
  <si>
    <t>manhattan</t>
  </si>
  <si>
    <t>saint_peters</t>
  </si>
  <si>
    <t>marist</t>
  </si>
  <si>
    <t>murray_state</t>
  </si>
  <si>
    <t>bradley</t>
  </si>
  <si>
    <t>charlotte</t>
  </si>
  <si>
    <t>florida_atlantic</t>
  </si>
  <si>
    <t>memphis</t>
  </si>
  <si>
    <t>east_carolina</t>
  </si>
  <si>
    <t>merrimack</t>
  </si>
  <si>
    <t>niagara</t>
  </si>
  <si>
    <t>rider</t>
  </si>
  <si>
    <t>siena</t>
  </si>
  <si>
    <t>1500</t>
  </si>
  <si>
    <t>northern_iowa</t>
  </si>
  <si>
    <t>drake</t>
  </si>
  <si>
    <t>1545</t>
  </si>
  <si>
    <t>michigan_state</t>
  </si>
  <si>
    <t>indiana</t>
  </si>
  <si>
    <t>1600</t>
  </si>
  <si>
    <t>depaul</t>
  </si>
  <si>
    <t>marquette</t>
  </si>
  <si>
    <t>1700</t>
  </si>
  <si>
    <t>belmont</t>
  </si>
  <si>
    <t>illinois_state</t>
  </si>
  <si>
    <t>1900</t>
  </si>
  <si>
    <t>college_of_charleston</t>
  </si>
  <si>
    <t>nc_wilmington</t>
  </si>
  <si>
    <t>2000</t>
  </si>
  <si>
    <t>wichita_state</t>
  </si>
  <si>
    <t>utsa</t>
  </si>
  <si>
    <t>southern_illinois</t>
  </si>
  <si>
    <t>evansville</t>
  </si>
  <si>
    <t>03022026</t>
  </si>
  <si>
    <t>duke</t>
  </si>
  <si>
    <t>nc_state</t>
  </si>
  <si>
    <t>iupui</t>
  </si>
  <si>
    <t>cleveland_state</t>
  </si>
  <si>
    <t>montana_state</t>
  </si>
  <si>
    <t>northern_arizona</t>
  </si>
  <si>
    <t>montana</t>
  </si>
  <si>
    <t>northern_colorado</t>
  </si>
  <si>
    <t>2100</t>
  </si>
  <si>
    <t>iowa_state</t>
  </si>
  <si>
    <t>arizona</t>
  </si>
  <si>
    <t>idaho</t>
  </si>
  <si>
    <t>eastern_washington</t>
  </si>
  <si>
    <t>2200</t>
  </si>
  <si>
    <t>weber_state</t>
  </si>
  <si>
    <t>portland_state</t>
  </si>
  <si>
    <t>idaho_state</t>
  </si>
  <si>
    <t>sacramento_state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</si>
</sst>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-&quot;dd&quot;-&quot;yyyy"/>
    <numFmt numFmtId="165" formatCode="h:mm am/pm"/>
    <numFmt numFmtId="166" formatCode="h&quot;:&quot;mm&quot; &quot;am/pm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Google Sans Mono"/>
    </font>
    <font>
      <color rgb="FF000000"/>
      <name val="Google Sans Mono"/>
    </font>
    <font>
      <color theme="1"/>
      <name val="Google Sans Mono"/>
    </font>
    <font>
      <b/>
      <color rgb="FF000000"/>
      <name val="Google Sans Mono"/>
    </font>
    <font>
      <b/>
      <color rgb="FF1F1F1F"/>
      <name val="Google Sans Mono"/>
    </font>
    <font>
      <color rgb="FF1F1F1F"/>
      <name val="Google Sans Mono"/>
    </font>
    <font>
      <color rgb="FFFFFFFF"/>
      <name val="Google Sans Mon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medium">
        <color rgb="FFFFFFFF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2" fontId="3" numFmtId="166" xfId="0" applyAlignment="1" applyBorder="1" applyFont="1" applyNumberFormat="1">
      <alignment horizontal="center" readingOrder="0"/>
    </xf>
    <xf borderId="5" fillId="2" fontId="3" numFmtId="0" xfId="0" applyAlignment="1" applyBorder="1" applyFont="1">
      <alignment horizontal="center" readingOrder="0"/>
    </xf>
    <xf borderId="6" fillId="3" fontId="4" numFmtId="166" xfId="0" applyAlignment="1" applyBorder="1" applyFill="1" applyFont="1" applyNumberFormat="1">
      <alignment horizontal="center" readingOrder="0"/>
    </xf>
    <xf borderId="6" fillId="3" fontId="4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center"/>
    </xf>
    <xf borderId="6" fillId="3" fontId="7" numFmtId="0" xfId="0" applyAlignment="1" applyBorder="1" applyFont="1">
      <alignment horizontal="center"/>
    </xf>
    <xf borderId="4" fillId="3" fontId="4" numFmtId="166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4" fillId="3" fontId="8" numFmtId="0" xfId="0" applyAlignment="1" applyBorder="1" applyFont="1">
      <alignment horizontal="center"/>
    </xf>
    <xf borderId="6" fillId="3" fontId="8" numFmtId="0" xfId="0" applyAlignment="1" applyBorder="1" applyFont="1">
      <alignment horizontal="center"/>
    </xf>
    <xf borderId="5" fillId="2" fontId="9" numFmtId="0" xfId="0" applyAlignment="1" applyBorder="1" applyFont="1">
      <alignment horizontal="center" readingOrder="0"/>
    </xf>
    <xf borderId="4" fillId="3" fontId="4" numFmtId="49" xfId="0" applyAlignment="1" applyBorder="1" applyFont="1" applyNumberFormat="1">
      <alignment horizontal="center" readingOrder="0"/>
    </xf>
    <xf borderId="4" fillId="3" fontId="5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>
        <b/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  <c r="J1" s="4"/>
    </row>
    <row r="2">
      <c r="A2" s="5">
        <v>46074.0</v>
      </c>
      <c r="B2" s="6">
        <v>0.8125</v>
      </c>
      <c r="C2" s="7" t="s">
        <v>7</v>
      </c>
      <c r="D2" s="7">
        <v>1.0</v>
      </c>
      <c r="E2" s="7" t="s">
        <v>8</v>
      </c>
      <c r="F2" s="7">
        <v>-1.0</v>
      </c>
      <c r="G2" s="7">
        <v>159.5</v>
      </c>
      <c r="H2" s="8"/>
      <c r="I2" s="8"/>
      <c r="J2" s="8"/>
    </row>
    <row r="3">
      <c r="A3" s="5">
        <v>46074.0</v>
      </c>
      <c r="B3" s="6">
        <v>0.7083333333333334</v>
      </c>
      <c r="C3" s="7" t="s">
        <v>9</v>
      </c>
      <c r="D3" s="7">
        <v>9.0</v>
      </c>
      <c r="E3" s="7" t="s">
        <v>10</v>
      </c>
      <c r="F3" s="7">
        <v>-9.0</v>
      </c>
      <c r="G3" s="7">
        <v>152.0</v>
      </c>
      <c r="H3" s="8"/>
      <c r="I3" s="8"/>
      <c r="J3" s="8"/>
    </row>
    <row r="4">
      <c r="A4" s="5">
        <v>46074.0</v>
      </c>
      <c r="B4" s="6">
        <v>0.7083333333333334</v>
      </c>
      <c r="C4" s="7" t="s">
        <v>11</v>
      </c>
      <c r="D4" s="7">
        <v>7.0</v>
      </c>
      <c r="E4" s="7" t="s">
        <v>12</v>
      </c>
      <c r="F4" s="7">
        <v>-7.0</v>
      </c>
      <c r="G4" s="7">
        <v>143.0</v>
      </c>
      <c r="H4" s="8"/>
      <c r="I4" s="8"/>
      <c r="J4" s="8"/>
    </row>
    <row r="5">
      <c r="A5" s="5">
        <v>46074.0</v>
      </c>
      <c r="B5" s="6">
        <v>0.7083333333333334</v>
      </c>
      <c r="C5" s="7" t="s">
        <v>13</v>
      </c>
      <c r="D5" s="7">
        <v>3.0</v>
      </c>
      <c r="E5" s="7" t="s">
        <v>14</v>
      </c>
      <c r="F5" s="7">
        <v>-3.0</v>
      </c>
      <c r="G5" s="7">
        <v>146.0</v>
      </c>
      <c r="H5" s="8"/>
      <c r="I5" s="8"/>
      <c r="J5" s="8"/>
    </row>
    <row r="6">
      <c r="A6" s="5">
        <v>46074.0</v>
      </c>
      <c r="B6" s="6">
        <v>0.7083333333333334</v>
      </c>
      <c r="C6" s="7" t="s">
        <v>15</v>
      </c>
      <c r="D6" s="7">
        <v>-1.0</v>
      </c>
      <c r="E6" s="7" t="s">
        <v>16</v>
      </c>
      <c r="F6" s="7">
        <v>1.0</v>
      </c>
      <c r="G6" s="7">
        <v>154.0</v>
      </c>
      <c r="H6" s="8"/>
      <c r="I6" s="8"/>
      <c r="J6" s="8"/>
    </row>
    <row r="7">
      <c r="A7" s="5">
        <v>46074.0</v>
      </c>
      <c r="B7" s="6">
        <v>0.7083333333333334</v>
      </c>
      <c r="C7" s="7" t="s">
        <v>17</v>
      </c>
      <c r="D7" s="7">
        <v>-1.0</v>
      </c>
      <c r="E7" s="7" t="s">
        <v>18</v>
      </c>
      <c r="F7" s="7">
        <v>1.0</v>
      </c>
      <c r="G7" s="7">
        <v>156.0</v>
      </c>
      <c r="H7" s="8"/>
      <c r="I7" s="8"/>
      <c r="J7" s="8"/>
    </row>
    <row r="8">
      <c r="A8" s="5">
        <v>46074.0</v>
      </c>
      <c r="B8" s="6">
        <v>0.7083333333333334</v>
      </c>
      <c r="C8" s="7" t="s">
        <v>19</v>
      </c>
      <c r="D8" s="7">
        <v>-4.0</v>
      </c>
      <c r="E8" s="7" t="s">
        <v>20</v>
      </c>
      <c r="F8" s="7">
        <v>4.0</v>
      </c>
      <c r="G8" s="7">
        <v>148.0</v>
      </c>
      <c r="H8" s="8"/>
      <c r="I8" s="8"/>
      <c r="J8" s="8"/>
    </row>
    <row r="9">
      <c r="A9" s="5">
        <v>46074.0</v>
      </c>
      <c r="B9" s="6">
        <v>0.7083333333333334</v>
      </c>
      <c r="C9" s="7" t="s">
        <v>21</v>
      </c>
      <c r="D9" s="7">
        <v>12.0</v>
      </c>
      <c r="E9" s="7" t="s">
        <v>22</v>
      </c>
      <c r="F9" s="7">
        <v>-12.0</v>
      </c>
      <c r="G9" s="7">
        <v>161.0</v>
      </c>
      <c r="H9" s="8"/>
      <c r="I9" s="8"/>
      <c r="J9" s="8"/>
    </row>
    <row r="10">
      <c r="A10" s="5">
        <v>46074.0</v>
      </c>
      <c r="B10" s="6">
        <v>0.7083333333333334</v>
      </c>
      <c r="C10" s="7" t="s">
        <v>23</v>
      </c>
      <c r="D10" s="7">
        <v>8.0</v>
      </c>
      <c r="E10" s="7" t="s">
        <v>24</v>
      </c>
      <c r="F10" s="7">
        <v>-8.0</v>
      </c>
      <c r="G10" s="7">
        <v>145.0</v>
      </c>
      <c r="H10" s="8"/>
      <c r="I10" s="8"/>
      <c r="J10" s="8"/>
    </row>
    <row r="11">
      <c r="A11" s="5">
        <v>46074.0</v>
      </c>
      <c r="B11" s="6">
        <v>0.7083333333333334</v>
      </c>
      <c r="C11" s="7" t="s">
        <v>25</v>
      </c>
      <c r="D11" s="7">
        <v>-3.0</v>
      </c>
      <c r="E11" s="7" t="s">
        <v>26</v>
      </c>
      <c r="F11" s="7">
        <v>3.0</v>
      </c>
      <c r="G11" s="7">
        <v>155.0</v>
      </c>
      <c r="H11" s="8"/>
      <c r="I11" s="8"/>
      <c r="J11" s="8"/>
    </row>
    <row r="12">
      <c r="A12" s="5">
        <v>46074.0</v>
      </c>
      <c r="B12" s="6">
        <v>0.7291666666666666</v>
      </c>
      <c r="C12" s="7" t="s">
        <v>27</v>
      </c>
      <c r="D12" s="7">
        <v>-1.0</v>
      </c>
      <c r="E12" s="7" t="s">
        <v>28</v>
      </c>
      <c r="F12" s="7">
        <v>1.0</v>
      </c>
      <c r="G12" s="7">
        <v>168.0</v>
      </c>
      <c r="H12" s="8"/>
      <c r="I12" s="8"/>
      <c r="J12" s="8"/>
    </row>
    <row r="13">
      <c r="A13" s="5">
        <v>46074.0</v>
      </c>
      <c r="B13" s="6">
        <v>0.7291666666666666</v>
      </c>
      <c r="C13" s="7" t="s">
        <v>29</v>
      </c>
      <c r="D13" s="7">
        <v>4.0</v>
      </c>
      <c r="E13" s="7" t="s">
        <v>30</v>
      </c>
      <c r="F13" s="7">
        <v>-4.0</v>
      </c>
      <c r="G13" s="7">
        <v>166.0</v>
      </c>
      <c r="H13" s="8"/>
      <c r="I13" s="8"/>
      <c r="J13" s="8"/>
    </row>
    <row r="14">
      <c r="A14" s="5">
        <v>46074.0</v>
      </c>
      <c r="B14" s="6">
        <v>0.75</v>
      </c>
      <c r="C14" s="7" t="s">
        <v>31</v>
      </c>
      <c r="D14" s="7">
        <v>1.0</v>
      </c>
      <c r="E14" s="7" t="s">
        <v>32</v>
      </c>
      <c r="F14" s="7">
        <v>-1.0</v>
      </c>
      <c r="G14" s="7">
        <v>155.0</v>
      </c>
      <c r="H14" s="8"/>
      <c r="I14" s="8"/>
      <c r="J14" s="8"/>
    </row>
    <row r="15">
      <c r="A15" s="5">
        <v>46074.0</v>
      </c>
      <c r="B15" s="6">
        <v>0.75</v>
      </c>
      <c r="C15" s="7" t="s">
        <v>33</v>
      </c>
      <c r="D15" s="7">
        <v>16.5</v>
      </c>
      <c r="E15" s="7" t="s">
        <v>34</v>
      </c>
      <c r="F15" s="7">
        <v>-16.5</v>
      </c>
      <c r="G15" s="7">
        <v>146.0</v>
      </c>
      <c r="H15" s="8"/>
      <c r="I15" s="8"/>
      <c r="J15" s="8"/>
    </row>
    <row r="16">
      <c r="A16" s="5">
        <v>46074.0</v>
      </c>
      <c r="B16" s="6">
        <v>0.75</v>
      </c>
      <c r="C16" s="7" t="s">
        <v>35</v>
      </c>
      <c r="D16" s="7">
        <v>1.0</v>
      </c>
      <c r="E16" s="7" t="s">
        <v>36</v>
      </c>
      <c r="F16" s="7">
        <v>-1.0</v>
      </c>
      <c r="G16" s="7">
        <v>158.0</v>
      </c>
      <c r="H16" s="8"/>
      <c r="I16" s="8"/>
      <c r="J16" s="8"/>
    </row>
    <row r="17">
      <c r="A17" s="5">
        <v>46074.0</v>
      </c>
      <c r="B17" s="6">
        <v>0.75</v>
      </c>
      <c r="C17" s="7" t="s">
        <v>37</v>
      </c>
      <c r="D17" s="7">
        <v>9.0</v>
      </c>
      <c r="E17" s="7" t="s">
        <v>38</v>
      </c>
      <c r="F17" s="7">
        <v>-9.0</v>
      </c>
      <c r="G17" s="7">
        <v>140.0</v>
      </c>
      <c r="H17" s="8"/>
      <c r="I17" s="8"/>
      <c r="J17" s="8"/>
    </row>
    <row r="18">
      <c r="A18" s="5">
        <v>46074.0</v>
      </c>
      <c r="B18" s="6">
        <v>0.7708333333333334</v>
      </c>
      <c r="C18" s="7" t="s">
        <v>39</v>
      </c>
      <c r="D18" s="7">
        <v>-5.0</v>
      </c>
      <c r="E18" s="7" t="s">
        <v>40</v>
      </c>
      <c r="F18" s="7">
        <v>5.0</v>
      </c>
      <c r="G18" s="7">
        <v>160.0</v>
      </c>
      <c r="H18" s="8"/>
      <c r="I18" s="8"/>
      <c r="J18" s="8"/>
    </row>
    <row r="19">
      <c r="A19" s="5">
        <v>46074.0</v>
      </c>
      <c r="B19" s="6">
        <v>0.7708333333333334</v>
      </c>
      <c r="C19" s="7" t="s">
        <v>41</v>
      </c>
      <c r="D19" s="7">
        <v>3.0</v>
      </c>
      <c r="E19" s="7" t="s">
        <v>42</v>
      </c>
      <c r="F19" s="7">
        <v>-3.0</v>
      </c>
      <c r="G19" s="7">
        <v>156.0</v>
      </c>
      <c r="H19" s="8"/>
      <c r="I19" s="8"/>
      <c r="J19" s="8"/>
    </row>
    <row r="20">
      <c r="A20" s="5">
        <v>46074.0</v>
      </c>
      <c r="B20" s="6">
        <v>0.7916666666666666</v>
      </c>
      <c r="C20" s="7" t="s">
        <v>43</v>
      </c>
      <c r="D20" s="7">
        <v>-3.0</v>
      </c>
      <c r="E20" s="7" t="s">
        <v>44</v>
      </c>
      <c r="F20" s="7">
        <v>3.0</v>
      </c>
      <c r="G20" s="7">
        <v>156.0</v>
      </c>
      <c r="H20" s="8"/>
      <c r="I20" s="8"/>
      <c r="J20" s="8"/>
    </row>
    <row r="21">
      <c r="A21" s="5">
        <v>46074.0</v>
      </c>
      <c r="B21" s="6">
        <v>0.7916666666666666</v>
      </c>
      <c r="C21" s="7" t="s">
        <v>45</v>
      </c>
      <c r="D21" s="7">
        <v>8.0</v>
      </c>
      <c r="E21" s="7" t="s">
        <v>46</v>
      </c>
      <c r="F21" s="7">
        <v>-8.0</v>
      </c>
      <c r="G21" s="7">
        <v>142.0</v>
      </c>
      <c r="H21" s="8"/>
      <c r="I21" s="8"/>
      <c r="J21" s="8"/>
    </row>
    <row r="22">
      <c r="A22" s="5">
        <v>46074.0</v>
      </c>
      <c r="B22" s="6">
        <v>0.7916666666666666</v>
      </c>
      <c r="C22" s="7" t="s">
        <v>47</v>
      </c>
      <c r="D22" s="7">
        <v>-4.0</v>
      </c>
      <c r="E22" s="7" t="s">
        <v>48</v>
      </c>
      <c r="F22" s="7">
        <v>4.0</v>
      </c>
      <c r="G22" s="7">
        <v>155.0</v>
      </c>
      <c r="H22" s="8"/>
      <c r="I22" s="8"/>
      <c r="J22" s="8"/>
    </row>
    <row r="23">
      <c r="A23" s="5">
        <v>46074.0</v>
      </c>
      <c r="B23" s="6">
        <v>0.7916666666666666</v>
      </c>
      <c r="C23" s="7" t="s">
        <v>49</v>
      </c>
      <c r="D23" s="7">
        <v>-2.0</v>
      </c>
      <c r="E23" s="7" t="s">
        <v>50</v>
      </c>
      <c r="F23" s="7">
        <v>2.0</v>
      </c>
      <c r="G23" s="7">
        <v>158.5</v>
      </c>
      <c r="H23" s="8"/>
      <c r="I23" s="8"/>
      <c r="J23" s="8"/>
    </row>
    <row r="24">
      <c r="A24" s="5">
        <v>46074.0</v>
      </c>
      <c r="B24" s="6">
        <v>0.7916666666666666</v>
      </c>
      <c r="C24" s="7" t="s">
        <v>51</v>
      </c>
      <c r="D24" s="7">
        <v>5.5</v>
      </c>
      <c r="E24" s="7" t="s">
        <v>52</v>
      </c>
      <c r="F24" s="7">
        <v>-5.5</v>
      </c>
      <c r="G24" s="7">
        <v>143.5</v>
      </c>
      <c r="H24" s="8"/>
      <c r="I24" s="8"/>
      <c r="J24" s="8"/>
    </row>
    <row r="25">
      <c r="A25" s="5">
        <v>46074.0</v>
      </c>
      <c r="B25" s="6">
        <v>0.7916666666666666</v>
      </c>
      <c r="C25" s="7" t="s">
        <v>53</v>
      </c>
      <c r="D25" s="7">
        <v>-4.0</v>
      </c>
      <c r="E25" s="7" t="s">
        <v>54</v>
      </c>
      <c r="F25" s="7">
        <v>4.0</v>
      </c>
      <c r="G25" s="7">
        <v>145.0</v>
      </c>
      <c r="H25" s="8"/>
      <c r="I25" s="8"/>
      <c r="J25" s="8"/>
    </row>
    <row r="26">
      <c r="A26" s="5">
        <v>46074.0</v>
      </c>
      <c r="B26" s="6">
        <v>0.7916666666666666</v>
      </c>
      <c r="C26" s="7" t="s">
        <v>55</v>
      </c>
      <c r="D26" s="7">
        <v>4.5</v>
      </c>
      <c r="E26" s="7" t="s">
        <v>56</v>
      </c>
      <c r="F26" s="7">
        <v>-4.5</v>
      </c>
      <c r="G26" s="7">
        <v>142.5</v>
      </c>
      <c r="H26" s="8"/>
      <c r="I26" s="8"/>
      <c r="J2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  <c r="J1" s="4"/>
    </row>
    <row r="2">
      <c r="A2" s="5">
        <v>46075.0</v>
      </c>
      <c r="B2" s="7" t="s">
        <v>57</v>
      </c>
      <c r="C2" s="7" t="s">
        <v>58</v>
      </c>
      <c r="D2" s="7">
        <v>6.0</v>
      </c>
      <c r="E2" s="7" t="s">
        <v>59</v>
      </c>
      <c r="F2" s="7">
        <v>-6.0</v>
      </c>
      <c r="G2" s="7">
        <v>141.0</v>
      </c>
      <c r="H2" s="8"/>
      <c r="I2" s="8"/>
      <c r="J2" s="8"/>
    </row>
    <row r="3">
      <c r="A3" s="5">
        <v>46075.0</v>
      </c>
      <c r="B3" s="7" t="s">
        <v>57</v>
      </c>
      <c r="C3" s="7" t="s">
        <v>60</v>
      </c>
      <c r="D3" s="7">
        <v>1.0</v>
      </c>
      <c r="E3" s="7" t="s">
        <v>61</v>
      </c>
      <c r="F3" s="7">
        <v>-1.0</v>
      </c>
      <c r="G3" s="7">
        <v>160.0</v>
      </c>
      <c r="H3" s="8"/>
      <c r="I3" s="8"/>
      <c r="J3" s="8"/>
    </row>
    <row r="4">
      <c r="A4" s="5">
        <v>46075.0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64</v>
      </c>
      <c r="G4" s="7">
        <v>151.5</v>
      </c>
      <c r="H4" s="8"/>
      <c r="I4" s="8"/>
      <c r="J4" s="8"/>
    </row>
    <row r="5">
      <c r="A5" s="5">
        <v>46075.0</v>
      </c>
      <c r="B5" s="7" t="s">
        <v>66</v>
      </c>
      <c r="C5" s="7" t="s">
        <v>67</v>
      </c>
      <c r="D5" s="7">
        <v>1.5</v>
      </c>
      <c r="E5" s="7" t="s">
        <v>68</v>
      </c>
      <c r="F5" s="7">
        <v>-1.5</v>
      </c>
      <c r="G5" s="7">
        <v>148.0</v>
      </c>
      <c r="H5" s="8"/>
      <c r="I5" s="8"/>
      <c r="J5" s="8"/>
    </row>
    <row r="6">
      <c r="A6" s="5">
        <v>46075.0</v>
      </c>
      <c r="B6" s="7" t="s">
        <v>66</v>
      </c>
      <c r="C6" s="7" t="s">
        <v>69</v>
      </c>
      <c r="D6" s="7">
        <v>-1.0</v>
      </c>
      <c r="E6" s="7" t="s">
        <v>70</v>
      </c>
      <c r="F6" s="7">
        <v>1.0</v>
      </c>
      <c r="G6" s="7">
        <v>133.0</v>
      </c>
      <c r="H6" s="8"/>
      <c r="I6" s="8"/>
      <c r="J6" s="8"/>
    </row>
    <row r="7">
      <c r="A7" s="5">
        <v>46075.0</v>
      </c>
      <c r="B7" s="7" t="s">
        <v>57</v>
      </c>
      <c r="C7" s="7" t="s">
        <v>71</v>
      </c>
      <c r="D7" s="7">
        <v>10.0</v>
      </c>
      <c r="E7" s="7" t="s">
        <v>72</v>
      </c>
      <c r="F7" s="7">
        <v>-10.0</v>
      </c>
      <c r="G7" s="7">
        <v>151.0</v>
      </c>
      <c r="H7" s="8"/>
      <c r="I7" s="8"/>
      <c r="J7" s="8"/>
    </row>
    <row r="8">
      <c r="A8" s="5">
        <v>46075.0</v>
      </c>
      <c r="B8" s="7" t="s">
        <v>73</v>
      </c>
      <c r="C8" s="7" t="s">
        <v>74</v>
      </c>
      <c r="D8" s="7">
        <v>1.0</v>
      </c>
      <c r="E8" s="7" t="s">
        <v>75</v>
      </c>
      <c r="F8" s="7">
        <v>-1.0</v>
      </c>
      <c r="G8" s="7">
        <v>155.0</v>
      </c>
      <c r="H8" s="8"/>
      <c r="I8" s="8"/>
      <c r="J8" s="8"/>
    </row>
    <row r="9">
      <c r="A9" s="5">
        <v>46075.0</v>
      </c>
      <c r="B9" s="7" t="s">
        <v>73</v>
      </c>
      <c r="C9" s="7" t="s">
        <v>76</v>
      </c>
      <c r="D9" s="7">
        <v>6.0</v>
      </c>
      <c r="E9" s="7" t="s">
        <v>77</v>
      </c>
      <c r="F9" s="7">
        <v>-6.0</v>
      </c>
      <c r="G9" s="7">
        <v>150.0</v>
      </c>
      <c r="H9" s="8"/>
      <c r="I9" s="8"/>
      <c r="J9" s="8"/>
    </row>
    <row r="10">
      <c r="A10" s="5">
        <v>46075.0</v>
      </c>
      <c r="B10" s="7" t="s">
        <v>73</v>
      </c>
      <c r="C10" s="7" t="s">
        <v>78</v>
      </c>
      <c r="D10" s="7">
        <v>3.0</v>
      </c>
      <c r="E10" s="7" t="s">
        <v>79</v>
      </c>
      <c r="F10" s="7">
        <v>-3.0</v>
      </c>
      <c r="G10" s="7">
        <v>142.0</v>
      </c>
      <c r="H10" s="8"/>
      <c r="I10" s="8"/>
      <c r="J10" s="8"/>
    </row>
    <row r="11">
      <c r="A11" s="5">
        <v>46075.0</v>
      </c>
      <c r="B11" s="7" t="s">
        <v>73</v>
      </c>
      <c r="C11" s="7" t="s">
        <v>80</v>
      </c>
      <c r="D11" s="7">
        <v>-2.5</v>
      </c>
      <c r="E11" s="7" t="s">
        <v>81</v>
      </c>
      <c r="F11" s="7">
        <v>2.5</v>
      </c>
      <c r="G11" s="7">
        <v>127.0</v>
      </c>
      <c r="H11" s="8"/>
      <c r="I11" s="8"/>
      <c r="J11" s="8"/>
    </row>
    <row r="12">
      <c r="A12" s="5">
        <v>46075.0</v>
      </c>
      <c r="B12" s="7" t="s">
        <v>73</v>
      </c>
      <c r="C12" s="7" t="s">
        <v>82</v>
      </c>
      <c r="D12" s="7">
        <v>7.0</v>
      </c>
      <c r="E12" s="7" t="s">
        <v>83</v>
      </c>
      <c r="F12" s="7">
        <v>-7.0</v>
      </c>
      <c r="G12" s="7">
        <v>152.0</v>
      </c>
      <c r="H12" s="8"/>
      <c r="I12" s="8"/>
      <c r="J12" s="8"/>
    </row>
    <row r="13">
      <c r="A13" s="5">
        <v>46075.0</v>
      </c>
      <c r="B13" s="7" t="s">
        <v>73</v>
      </c>
      <c r="C13" s="7" t="s">
        <v>84</v>
      </c>
      <c r="D13" s="7">
        <v>5.5</v>
      </c>
      <c r="E13" s="7" t="s">
        <v>85</v>
      </c>
      <c r="F13" s="7">
        <v>-5.5</v>
      </c>
      <c r="G13" s="7">
        <v>146.0</v>
      </c>
      <c r="H13" s="8"/>
      <c r="I13" s="8"/>
      <c r="J13" s="8"/>
    </row>
    <row r="14">
      <c r="A14" s="5">
        <v>46075.0</v>
      </c>
      <c r="B14" s="7" t="s">
        <v>73</v>
      </c>
      <c r="C14" s="7" t="s">
        <v>86</v>
      </c>
      <c r="D14" s="7">
        <v>-2.5</v>
      </c>
      <c r="E14" s="7" t="s">
        <v>87</v>
      </c>
      <c r="F14" s="7">
        <v>2.5</v>
      </c>
      <c r="G14" s="7">
        <v>167.0</v>
      </c>
      <c r="H14" s="8"/>
      <c r="I14" s="8"/>
      <c r="J14" s="8"/>
    </row>
    <row r="15">
      <c r="A15" s="5">
        <v>46075.0</v>
      </c>
      <c r="B15" s="7" t="s">
        <v>73</v>
      </c>
      <c r="C15" s="7" t="s">
        <v>88</v>
      </c>
      <c r="D15" s="7">
        <v>10.5</v>
      </c>
      <c r="E15" s="7" t="s">
        <v>89</v>
      </c>
      <c r="F15" s="7">
        <v>-10.5</v>
      </c>
      <c r="G15" s="7">
        <v>144.5</v>
      </c>
      <c r="H15" s="8"/>
      <c r="I15" s="8"/>
      <c r="J15" s="8"/>
    </row>
    <row r="16">
      <c r="A16" s="5">
        <v>46075.0</v>
      </c>
      <c r="B16" s="7" t="s">
        <v>73</v>
      </c>
      <c r="C16" s="7" t="s">
        <v>90</v>
      </c>
      <c r="D16" s="7">
        <v>9.5</v>
      </c>
      <c r="E16" s="7" t="s">
        <v>91</v>
      </c>
      <c r="F16" s="7">
        <v>-9.5</v>
      </c>
      <c r="G16" s="7">
        <v>134.0</v>
      </c>
      <c r="H16" s="8"/>
      <c r="I16" s="8"/>
      <c r="J16" s="8"/>
    </row>
    <row r="17">
      <c r="A17" s="5">
        <v>46075.0</v>
      </c>
      <c r="B17" s="7" t="s">
        <v>92</v>
      </c>
      <c r="C17" s="7" t="s">
        <v>93</v>
      </c>
      <c r="D17" s="7">
        <v>9.5</v>
      </c>
      <c r="E17" s="7" t="s">
        <v>94</v>
      </c>
      <c r="F17" s="7">
        <v>-9.5</v>
      </c>
      <c r="G17" s="7">
        <v>163.5</v>
      </c>
      <c r="H17" s="8"/>
      <c r="I17" s="8"/>
      <c r="J17" s="8"/>
    </row>
    <row r="18">
      <c r="A18" s="5">
        <v>46075.0</v>
      </c>
      <c r="B18" s="7" t="s">
        <v>62</v>
      </c>
      <c r="C18" s="7" t="s">
        <v>95</v>
      </c>
      <c r="D18" s="7">
        <v>5.5</v>
      </c>
      <c r="E18" s="7" t="s">
        <v>96</v>
      </c>
      <c r="F18" s="7">
        <v>-5.5</v>
      </c>
      <c r="G18" s="7">
        <v>143.5</v>
      </c>
      <c r="H18" s="8"/>
      <c r="I18" s="8"/>
      <c r="J18" s="8"/>
    </row>
    <row r="19">
      <c r="A19" s="5">
        <v>46075.0</v>
      </c>
      <c r="B19" s="7" t="s">
        <v>62</v>
      </c>
      <c r="C19" s="7" t="s">
        <v>97</v>
      </c>
      <c r="D19" s="7">
        <v>29.5</v>
      </c>
      <c r="E19" s="7" t="s">
        <v>98</v>
      </c>
      <c r="F19" s="7">
        <v>-29.5</v>
      </c>
      <c r="G19" s="7">
        <v>166.0</v>
      </c>
      <c r="H19" s="8"/>
      <c r="I19" s="8"/>
      <c r="J1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  <c r="J1" s="4"/>
    </row>
    <row r="2">
      <c r="A2" s="5">
        <v>46076.0</v>
      </c>
      <c r="B2" s="7" t="s">
        <v>99</v>
      </c>
      <c r="C2" s="7" t="s">
        <v>100</v>
      </c>
      <c r="D2" s="7">
        <v>1.0</v>
      </c>
      <c r="E2" s="7" t="s">
        <v>101</v>
      </c>
      <c r="F2" s="7">
        <v>-1.0</v>
      </c>
      <c r="G2" s="7">
        <v>162.0</v>
      </c>
      <c r="H2" s="8"/>
      <c r="I2" s="8"/>
      <c r="J2" s="8"/>
    </row>
    <row r="3">
      <c r="A3" s="5">
        <v>46076.0</v>
      </c>
      <c r="B3" s="7" t="s">
        <v>102</v>
      </c>
      <c r="C3" s="7" t="s">
        <v>103</v>
      </c>
      <c r="D3" s="7">
        <v>-1.5</v>
      </c>
      <c r="E3" s="7" t="s">
        <v>104</v>
      </c>
      <c r="F3" s="7">
        <v>1.5</v>
      </c>
      <c r="G3" s="7">
        <v>143.0</v>
      </c>
      <c r="H3" s="8"/>
      <c r="I3" s="8"/>
      <c r="J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>
      <c r="A2" s="5">
        <v>46077.0</v>
      </c>
      <c r="B2" s="7" t="s">
        <v>99</v>
      </c>
      <c r="C2" s="7" t="s">
        <v>105</v>
      </c>
      <c r="D2" s="7">
        <v>1.5</v>
      </c>
      <c r="E2" s="7" t="s">
        <v>106</v>
      </c>
      <c r="F2" s="7">
        <v>-1.5</v>
      </c>
      <c r="G2" s="7">
        <v>146.0</v>
      </c>
      <c r="H2" s="8"/>
      <c r="I2" s="8"/>
    </row>
    <row r="3">
      <c r="A3" s="5">
        <v>46077.0</v>
      </c>
      <c r="B3" s="7" t="s">
        <v>107</v>
      </c>
      <c r="C3" s="7" t="s">
        <v>108</v>
      </c>
      <c r="D3" s="7">
        <v>-5.5</v>
      </c>
      <c r="E3" s="7" t="s">
        <v>109</v>
      </c>
      <c r="F3" s="7">
        <v>5.5</v>
      </c>
      <c r="G3" s="7">
        <v>146.5</v>
      </c>
      <c r="H3" s="8"/>
      <c r="I3" s="8"/>
    </row>
    <row r="4">
      <c r="A4" s="5">
        <v>46077.0</v>
      </c>
      <c r="B4" s="7" t="s">
        <v>107</v>
      </c>
      <c r="C4" s="7" t="s">
        <v>110</v>
      </c>
      <c r="D4" s="7">
        <v>-11.5</v>
      </c>
      <c r="E4" s="7" t="s">
        <v>111</v>
      </c>
      <c r="F4" s="7">
        <v>11.5</v>
      </c>
      <c r="G4" s="7">
        <v>156.5</v>
      </c>
      <c r="H4" s="8"/>
      <c r="I4" s="8"/>
    </row>
    <row r="5">
      <c r="A5" s="5">
        <v>46077.0</v>
      </c>
      <c r="B5" s="7" t="s">
        <v>107</v>
      </c>
      <c r="C5" s="7" t="s">
        <v>112</v>
      </c>
      <c r="D5" s="7">
        <v>-9.5</v>
      </c>
      <c r="E5" s="7" t="s">
        <v>113</v>
      </c>
      <c r="F5" s="7">
        <v>9.5</v>
      </c>
      <c r="G5" s="7">
        <v>146.5</v>
      </c>
      <c r="H5" s="8"/>
      <c r="I5" s="8"/>
    </row>
    <row r="6">
      <c r="A6" s="5">
        <v>46077.0</v>
      </c>
      <c r="B6" s="7" t="s">
        <v>99</v>
      </c>
      <c r="C6" s="7" t="s">
        <v>114</v>
      </c>
      <c r="D6" s="7">
        <v>-6.5</v>
      </c>
      <c r="E6" s="7" t="s">
        <v>115</v>
      </c>
      <c r="F6" s="7">
        <v>6.5</v>
      </c>
      <c r="G6" s="7">
        <v>160.0</v>
      </c>
      <c r="H6" s="8"/>
      <c r="I6" s="8"/>
    </row>
    <row r="7">
      <c r="A7" s="5">
        <v>46077.0</v>
      </c>
      <c r="B7" s="7" t="s">
        <v>99</v>
      </c>
      <c r="C7" s="7" t="s">
        <v>116</v>
      </c>
      <c r="D7" s="7">
        <v>10.0</v>
      </c>
      <c r="E7" s="7" t="s">
        <v>117</v>
      </c>
      <c r="F7" s="7">
        <v>-10.0</v>
      </c>
      <c r="G7" s="7">
        <v>150.5</v>
      </c>
      <c r="H7" s="8"/>
      <c r="I7" s="8"/>
    </row>
    <row r="8">
      <c r="A8" s="5">
        <v>46077.0</v>
      </c>
      <c r="B8" s="7" t="s">
        <v>99</v>
      </c>
      <c r="C8" s="7" t="s">
        <v>118</v>
      </c>
      <c r="D8" s="7">
        <v>-20.5</v>
      </c>
      <c r="E8" s="7" t="s">
        <v>119</v>
      </c>
      <c r="F8" s="7">
        <v>20.5</v>
      </c>
      <c r="G8" s="7">
        <v>147.5</v>
      </c>
      <c r="H8" s="8"/>
      <c r="I8" s="8"/>
    </row>
    <row r="9">
      <c r="A9" s="5">
        <v>46077.0</v>
      </c>
      <c r="B9" s="7" t="s">
        <v>99</v>
      </c>
      <c r="C9" s="7" t="s">
        <v>120</v>
      </c>
      <c r="D9" s="7">
        <v>6.5</v>
      </c>
      <c r="E9" s="7" t="s">
        <v>121</v>
      </c>
      <c r="F9" s="7">
        <v>-6.5</v>
      </c>
      <c r="G9" s="7">
        <v>150.0</v>
      </c>
      <c r="H9" s="8"/>
      <c r="I9" s="8"/>
    </row>
    <row r="10">
      <c r="A10" s="5">
        <v>46077.0</v>
      </c>
      <c r="B10" s="7" t="s">
        <v>99</v>
      </c>
      <c r="C10" s="7" t="s">
        <v>122</v>
      </c>
      <c r="D10" s="7">
        <v>8.5</v>
      </c>
      <c r="E10" s="7" t="s">
        <v>123</v>
      </c>
      <c r="F10" s="7">
        <v>-8.5</v>
      </c>
      <c r="G10" s="7">
        <v>152.0</v>
      </c>
      <c r="H10" s="8"/>
      <c r="I10" s="8"/>
    </row>
    <row r="11">
      <c r="A11" s="5">
        <v>46077.0</v>
      </c>
      <c r="B11" s="7" t="s">
        <v>99</v>
      </c>
      <c r="C11" s="7" t="s">
        <v>124</v>
      </c>
      <c r="D11" s="7">
        <v>-3.5</v>
      </c>
      <c r="E11" s="7" t="s">
        <v>125</v>
      </c>
      <c r="F11" s="7">
        <v>3.5</v>
      </c>
      <c r="G11" s="7">
        <v>146.5</v>
      </c>
      <c r="H11" s="8"/>
      <c r="I11" s="8"/>
    </row>
    <row r="12">
      <c r="A12" s="5">
        <v>46077.0</v>
      </c>
      <c r="B12" s="7" t="s">
        <v>99</v>
      </c>
      <c r="C12" s="7" t="s">
        <v>126</v>
      </c>
      <c r="D12" s="7">
        <v>9.5</v>
      </c>
      <c r="E12" s="7" t="s">
        <v>127</v>
      </c>
      <c r="F12" s="7">
        <v>-9.5</v>
      </c>
      <c r="G12" s="7">
        <v>143.5</v>
      </c>
      <c r="H12" s="8"/>
      <c r="I12" s="8"/>
    </row>
    <row r="13">
      <c r="A13" s="5">
        <v>46077.0</v>
      </c>
      <c r="B13" s="7" t="s">
        <v>99</v>
      </c>
      <c r="C13" s="7" t="s">
        <v>29</v>
      </c>
      <c r="D13" s="7">
        <v>-6.5</v>
      </c>
      <c r="E13" s="7" t="s">
        <v>128</v>
      </c>
      <c r="F13" s="7">
        <v>6.5</v>
      </c>
      <c r="G13" s="7">
        <v>152.5</v>
      </c>
      <c r="H13" s="8"/>
      <c r="I13" s="8"/>
    </row>
    <row r="14">
      <c r="A14" s="5">
        <v>46077.0</v>
      </c>
      <c r="B14" s="7" t="s">
        <v>99</v>
      </c>
      <c r="C14" s="7" t="s">
        <v>129</v>
      </c>
      <c r="D14" s="7">
        <v>7.0</v>
      </c>
      <c r="E14" s="7" t="s">
        <v>130</v>
      </c>
      <c r="F14" s="7">
        <v>-7.0</v>
      </c>
      <c r="G14" s="7">
        <v>160.5</v>
      </c>
      <c r="H14" s="8"/>
      <c r="I14" s="8"/>
    </row>
    <row r="15">
      <c r="A15" s="5">
        <v>46077.0</v>
      </c>
      <c r="B15" s="7" t="s">
        <v>99</v>
      </c>
      <c r="C15" s="7" t="s">
        <v>131</v>
      </c>
      <c r="D15" s="7">
        <v>15.0</v>
      </c>
      <c r="E15" s="7" t="s">
        <v>132</v>
      </c>
      <c r="F15" s="7">
        <v>-15.0</v>
      </c>
      <c r="G15" s="7">
        <v>166.5</v>
      </c>
      <c r="H15" s="8"/>
      <c r="I15" s="8"/>
    </row>
    <row r="16">
      <c r="A16" s="5">
        <v>46077.0</v>
      </c>
      <c r="B16" s="7" t="s">
        <v>99</v>
      </c>
      <c r="C16" s="7" t="s">
        <v>133</v>
      </c>
      <c r="D16" s="7">
        <v>-4.0</v>
      </c>
      <c r="E16" s="7" t="s">
        <v>134</v>
      </c>
      <c r="F16" s="7">
        <v>4.0</v>
      </c>
      <c r="G16" s="7">
        <v>148.0</v>
      </c>
      <c r="H16" s="8"/>
      <c r="I16" s="8"/>
    </row>
    <row r="17">
      <c r="A17" s="5">
        <v>46077.0</v>
      </c>
      <c r="B17" s="7" t="s">
        <v>99</v>
      </c>
      <c r="C17" s="7" t="s">
        <v>135</v>
      </c>
      <c r="D17" s="7">
        <v>12.5</v>
      </c>
      <c r="E17" s="7" t="s">
        <v>136</v>
      </c>
      <c r="F17" s="7">
        <v>-12.5</v>
      </c>
      <c r="G17" s="7">
        <v>157.0</v>
      </c>
      <c r="H17" s="8"/>
      <c r="I17" s="8"/>
    </row>
    <row r="18">
      <c r="A18" s="5">
        <v>46077.0</v>
      </c>
      <c r="B18" s="7" t="s">
        <v>99</v>
      </c>
      <c r="C18" s="7" t="s">
        <v>137</v>
      </c>
      <c r="D18" s="7">
        <v>13.0</v>
      </c>
      <c r="E18" s="7" t="s">
        <v>138</v>
      </c>
      <c r="F18" s="7">
        <v>-13.0</v>
      </c>
      <c r="G18" s="7">
        <v>155.0</v>
      </c>
      <c r="H18" s="8"/>
      <c r="I18" s="8"/>
    </row>
    <row r="19">
      <c r="A19" s="5">
        <v>46077.0</v>
      </c>
      <c r="B19" s="7" t="s">
        <v>99</v>
      </c>
      <c r="C19" s="7" t="s">
        <v>139</v>
      </c>
      <c r="D19" s="7">
        <v>14.5</v>
      </c>
      <c r="E19" s="7" t="s">
        <v>140</v>
      </c>
      <c r="F19" s="7">
        <v>-14.5</v>
      </c>
      <c r="G19" s="7">
        <v>138.5</v>
      </c>
      <c r="H19" s="8"/>
      <c r="I19" s="8"/>
    </row>
    <row r="20">
      <c r="A20" s="5">
        <v>46077.0</v>
      </c>
      <c r="B20" s="7" t="s">
        <v>99</v>
      </c>
      <c r="C20" s="7" t="s">
        <v>141</v>
      </c>
      <c r="D20" s="7">
        <v>15.0</v>
      </c>
      <c r="E20" s="7" t="s">
        <v>142</v>
      </c>
      <c r="F20" s="7">
        <v>-15.0</v>
      </c>
      <c r="G20" s="7">
        <v>155.0</v>
      </c>
      <c r="H20" s="8"/>
      <c r="I20" s="8"/>
    </row>
    <row r="21">
      <c r="A21" s="5">
        <v>46077.0</v>
      </c>
      <c r="B21" s="7" t="s">
        <v>143</v>
      </c>
      <c r="C21" s="7" t="s">
        <v>144</v>
      </c>
      <c r="D21" s="7">
        <v>8.5</v>
      </c>
      <c r="E21" s="7" t="s">
        <v>15</v>
      </c>
      <c r="F21" s="7">
        <v>-8.5</v>
      </c>
      <c r="G21" s="7">
        <v>168.0</v>
      </c>
      <c r="H21" s="8"/>
      <c r="I21" s="8"/>
    </row>
    <row r="22">
      <c r="A22" s="5">
        <v>46077.0</v>
      </c>
      <c r="B22" s="7" t="s">
        <v>143</v>
      </c>
      <c r="C22" s="7" t="s">
        <v>145</v>
      </c>
      <c r="D22" s="7">
        <v>-2.0</v>
      </c>
      <c r="E22" s="7" t="s">
        <v>146</v>
      </c>
      <c r="F22" s="7">
        <v>2.0</v>
      </c>
      <c r="G22" s="7">
        <v>135.5</v>
      </c>
      <c r="H22" s="8"/>
      <c r="I22" s="8"/>
    </row>
    <row r="23">
      <c r="A23" s="5">
        <v>46077.0</v>
      </c>
      <c r="B23" s="7" t="s">
        <v>143</v>
      </c>
      <c r="C23" s="7" t="s">
        <v>147</v>
      </c>
      <c r="D23" s="7">
        <v>11.0</v>
      </c>
      <c r="E23" s="7" t="s">
        <v>148</v>
      </c>
      <c r="F23" s="7">
        <v>-11.0</v>
      </c>
      <c r="G23" s="7">
        <v>143.0</v>
      </c>
      <c r="H23" s="8"/>
      <c r="I23" s="8"/>
    </row>
    <row r="24">
      <c r="A24" s="5">
        <v>46077.0</v>
      </c>
      <c r="B24" s="7" t="s">
        <v>149</v>
      </c>
      <c r="C24" s="7" t="s">
        <v>14</v>
      </c>
      <c r="D24" s="7">
        <v>5.0</v>
      </c>
      <c r="E24" s="7" t="s">
        <v>150</v>
      </c>
      <c r="F24" s="7">
        <v>-5.0</v>
      </c>
      <c r="G24" s="7">
        <v>144.0</v>
      </c>
      <c r="H24" s="8"/>
      <c r="I24" s="8"/>
    </row>
    <row r="25">
      <c r="A25" s="5">
        <v>46077.0</v>
      </c>
      <c r="B25" s="7" t="s">
        <v>151</v>
      </c>
      <c r="C25" s="7" t="s">
        <v>152</v>
      </c>
      <c r="D25" s="7">
        <v>9.5</v>
      </c>
      <c r="E25" s="7" t="s">
        <v>153</v>
      </c>
      <c r="F25" s="7">
        <v>-9.5</v>
      </c>
      <c r="G25" s="7">
        <v>156.0</v>
      </c>
      <c r="H25" s="8"/>
      <c r="I25" s="8"/>
    </row>
    <row r="26">
      <c r="A26" s="5">
        <v>46077.0</v>
      </c>
      <c r="B26" s="7" t="s">
        <v>151</v>
      </c>
      <c r="C26" s="7" t="s">
        <v>154</v>
      </c>
      <c r="D26" s="7">
        <v>26.0</v>
      </c>
      <c r="E26" s="7" t="s">
        <v>155</v>
      </c>
      <c r="F26" s="7">
        <v>-26.0</v>
      </c>
      <c r="G26" s="7">
        <v>147.0</v>
      </c>
      <c r="H26" s="8"/>
      <c r="I26" s="8"/>
    </row>
    <row r="27">
      <c r="A27" s="5">
        <v>46077.0</v>
      </c>
      <c r="B27" s="7" t="s">
        <v>102</v>
      </c>
      <c r="C27" s="7" t="s">
        <v>7</v>
      </c>
      <c r="D27" s="7">
        <v>-14.0</v>
      </c>
      <c r="E27" s="7" t="s">
        <v>36</v>
      </c>
      <c r="F27" s="7">
        <v>14.0</v>
      </c>
      <c r="G27" s="7">
        <v>151.0</v>
      </c>
      <c r="H27" s="8"/>
      <c r="I27" s="8"/>
    </row>
    <row r="28">
      <c r="A28" s="5">
        <v>46077.0</v>
      </c>
      <c r="B28" s="7" t="s">
        <v>102</v>
      </c>
      <c r="C28" s="7" t="s">
        <v>30</v>
      </c>
      <c r="D28" s="7">
        <v>-3.0</v>
      </c>
      <c r="E28" s="7" t="s">
        <v>28</v>
      </c>
      <c r="F28" s="7">
        <v>3.0</v>
      </c>
      <c r="G28" s="7">
        <v>165.0</v>
      </c>
      <c r="H28" s="8"/>
      <c r="I28" s="8"/>
    </row>
    <row r="29">
      <c r="A29" s="5">
        <v>46077.0</v>
      </c>
      <c r="B29" s="7" t="s">
        <v>102</v>
      </c>
      <c r="C29" s="7" t="s">
        <v>26</v>
      </c>
      <c r="D29" s="7">
        <v>9.5</v>
      </c>
      <c r="E29" s="7" t="s">
        <v>156</v>
      </c>
      <c r="F29" s="7">
        <v>-9.5</v>
      </c>
      <c r="G29" s="7">
        <v>144.0</v>
      </c>
      <c r="H29" s="8"/>
      <c r="I29" s="8"/>
    </row>
    <row r="30">
      <c r="A30" s="5">
        <v>46077.0</v>
      </c>
      <c r="B30" s="7" t="s">
        <v>102</v>
      </c>
      <c r="C30" s="7" t="s">
        <v>157</v>
      </c>
      <c r="D30" s="7">
        <v>-9.5</v>
      </c>
      <c r="E30" s="7" t="s">
        <v>158</v>
      </c>
      <c r="F30" s="7">
        <v>9.5</v>
      </c>
      <c r="G30" s="7">
        <v>143.0</v>
      </c>
      <c r="H30" s="8"/>
      <c r="I30" s="8"/>
    </row>
    <row r="31">
      <c r="A31" s="5">
        <v>46077.0</v>
      </c>
      <c r="B31" s="7" t="s">
        <v>102</v>
      </c>
      <c r="C31" s="7" t="s">
        <v>159</v>
      </c>
      <c r="D31" s="7">
        <v>5.0</v>
      </c>
      <c r="E31" s="7" t="s">
        <v>160</v>
      </c>
      <c r="F31" s="7">
        <v>-5.0</v>
      </c>
      <c r="G31" s="7">
        <v>160.0</v>
      </c>
      <c r="H31" s="8"/>
      <c r="I31" s="8"/>
    </row>
    <row r="32">
      <c r="A32" s="5">
        <v>46077.0</v>
      </c>
      <c r="B32" s="7" t="s">
        <v>102</v>
      </c>
      <c r="C32" s="7" t="s">
        <v>161</v>
      </c>
      <c r="D32" s="7">
        <v>7.5</v>
      </c>
      <c r="E32" s="7" t="s">
        <v>162</v>
      </c>
      <c r="F32" s="7">
        <v>-7.5</v>
      </c>
      <c r="G32" s="7">
        <v>147.0</v>
      </c>
      <c r="H32" s="8"/>
      <c r="I32" s="8"/>
    </row>
    <row r="33">
      <c r="A33" s="5">
        <v>46077.0</v>
      </c>
      <c r="B33" s="7" t="s">
        <v>102</v>
      </c>
      <c r="C33" s="7" t="s">
        <v>163</v>
      </c>
      <c r="D33" s="7">
        <v>-11.0</v>
      </c>
      <c r="E33" s="7" t="s">
        <v>164</v>
      </c>
      <c r="F33" s="7">
        <v>11.0</v>
      </c>
      <c r="G33" s="7">
        <v>171.0</v>
      </c>
      <c r="H33" s="8"/>
      <c r="I33" s="8"/>
    </row>
    <row r="34">
      <c r="A34" s="5">
        <v>46077.0</v>
      </c>
      <c r="B34" s="7" t="s">
        <v>102</v>
      </c>
      <c r="C34" s="7" t="s">
        <v>11</v>
      </c>
      <c r="D34" s="7">
        <v>7.5</v>
      </c>
      <c r="E34" s="7" t="s">
        <v>165</v>
      </c>
      <c r="F34" s="7">
        <v>-7.5</v>
      </c>
      <c r="G34" s="7">
        <v>150.0</v>
      </c>
      <c r="H34" s="8"/>
      <c r="I34" s="8"/>
    </row>
    <row r="35">
      <c r="A35" s="5">
        <v>46077.0</v>
      </c>
      <c r="B35" s="7" t="s">
        <v>102</v>
      </c>
      <c r="C35" s="7" t="s">
        <v>166</v>
      </c>
      <c r="D35" s="7">
        <v>-8.0</v>
      </c>
      <c r="E35" s="7" t="s">
        <v>167</v>
      </c>
      <c r="F35" s="7">
        <v>8.0</v>
      </c>
      <c r="G35" s="7">
        <v>147.0</v>
      </c>
      <c r="H35" s="8"/>
      <c r="I35" s="8"/>
    </row>
    <row r="36">
      <c r="A36" s="5">
        <v>46077.0</v>
      </c>
      <c r="B36" s="7" t="s">
        <v>168</v>
      </c>
      <c r="C36" s="7" t="s">
        <v>169</v>
      </c>
      <c r="D36" s="7">
        <v>8.0</v>
      </c>
      <c r="E36" s="7" t="s">
        <v>20</v>
      </c>
      <c r="F36" s="7">
        <v>-8.0</v>
      </c>
      <c r="G36" s="7">
        <v>156.0</v>
      </c>
      <c r="H36" s="8"/>
      <c r="I36" s="8"/>
    </row>
    <row r="37">
      <c r="A37" s="5">
        <v>46077.0</v>
      </c>
      <c r="B37" s="7" t="s">
        <v>168</v>
      </c>
      <c r="C37" s="7" t="s">
        <v>35</v>
      </c>
      <c r="D37" s="7">
        <v>14.0</v>
      </c>
      <c r="E37" s="7" t="s">
        <v>8</v>
      </c>
      <c r="F37" s="7">
        <v>-14.0</v>
      </c>
      <c r="G37" s="7">
        <v>172.0</v>
      </c>
      <c r="H37" s="8"/>
      <c r="I37" s="8"/>
    </row>
    <row r="38">
      <c r="A38" s="5">
        <v>46077.0</v>
      </c>
      <c r="B38" s="7" t="s">
        <v>168</v>
      </c>
      <c r="C38" s="7" t="s">
        <v>25</v>
      </c>
      <c r="D38" s="7">
        <v>-1.5</v>
      </c>
      <c r="E38" s="7" t="s">
        <v>44</v>
      </c>
      <c r="F38" s="7">
        <v>1.5</v>
      </c>
      <c r="G38" s="7">
        <v>159.0</v>
      </c>
      <c r="H38" s="8"/>
      <c r="I38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 hidden="1">
      <c r="A2" s="5">
        <v>46078.0</v>
      </c>
      <c r="B2" s="7" t="s">
        <v>170</v>
      </c>
      <c r="C2" s="7" t="s">
        <v>171</v>
      </c>
      <c r="D2" s="7">
        <v>19.5</v>
      </c>
      <c r="E2" s="7" t="s">
        <v>172</v>
      </c>
      <c r="F2" s="7">
        <v>-19.5</v>
      </c>
      <c r="G2" s="7">
        <v>139.0</v>
      </c>
      <c r="H2" s="8"/>
      <c r="I2" s="8"/>
    </row>
    <row r="3" hidden="1">
      <c r="A3" s="5">
        <v>46078.0</v>
      </c>
      <c r="B3" s="7" t="s">
        <v>107</v>
      </c>
      <c r="C3" s="7" t="s">
        <v>94</v>
      </c>
      <c r="D3" s="7">
        <v>-7.5</v>
      </c>
      <c r="E3" s="7" t="s">
        <v>173</v>
      </c>
      <c r="F3" s="7">
        <v>7.5</v>
      </c>
      <c r="G3" s="7">
        <v>172.0</v>
      </c>
      <c r="H3" s="8"/>
      <c r="I3" s="8"/>
    </row>
    <row r="4" hidden="1">
      <c r="A4" s="5">
        <v>46078.0</v>
      </c>
      <c r="B4" s="7" t="s">
        <v>99</v>
      </c>
      <c r="C4" s="7" t="s">
        <v>174</v>
      </c>
      <c r="D4" s="7">
        <v>2.5</v>
      </c>
      <c r="E4" s="7" t="s">
        <v>175</v>
      </c>
      <c r="F4" s="7">
        <v>-2.5</v>
      </c>
      <c r="G4" s="7">
        <v>139.0</v>
      </c>
      <c r="H4" s="8"/>
      <c r="I4" s="8"/>
    </row>
    <row r="5" hidden="1">
      <c r="A5" s="5">
        <v>46078.0</v>
      </c>
      <c r="B5" s="7" t="s">
        <v>99</v>
      </c>
      <c r="C5" s="7" t="s">
        <v>13</v>
      </c>
      <c r="D5" s="7">
        <v>8.5</v>
      </c>
      <c r="E5" s="7" t="s">
        <v>176</v>
      </c>
      <c r="F5" s="7">
        <v>-8.5</v>
      </c>
      <c r="G5" s="7">
        <v>125.0</v>
      </c>
      <c r="H5" s="8"/>
      <c r="I5" s="8"/>
    </row>
    <row r="6" hidden="1">
      <c r="A6" s="5">
        <v>46078.0</v>
      </c>
      <c r="B6" s="7" t="s">
        <v>99</v>
      </c>
      <c r="C6" s="7" t="s">
        <v>177</v>
      </c>
      <c r="D6" s="7">
        <v>1.0</v>
      </c>
      <c r="E6" s="7" t="s">
        <v>178</v>
      </c>
      <c r="F6" s="7">
        <v>-1.0</v>
      </c>
      <c r="G6" s="7">
        <v>144.0</v>
      </c>
      <c r="H6" s="8"/>
      <c r="I6" s="8"/>
    </row>
    <row r="7" hidden="1">
      <c r="A7" s="5">
        <v>46078.0</v>
      </c>
      <c r="B7" s="7" t="s">
        <v>99</v>
      </c>
      <c r="C7" s="7" t="s">
        <v>179</v>
      </c>
      <c r="D7" s="7">
        <v>11.5</v>
      </c>
      <c r="E7" s="7" t="s">
        <v>180</v>
      </c>
      <c r="F7" s="7">
        <v>-11.5</v>
      </c>
      <c r="G7" s="7">
        <v>153.0</v>
      </c>
      <c r="H7" s="8"/>
      <c r="I7" s="8"/>
    </row>
    <row r="8" hidden="1">
      <c r="A8" s="5">
        <v>46078.0</v>
      </c>
      <c r="B8" s="7" t="s">
        <v>99</v>
      </c>
      <c r="C8" s="7" t="s">
        <v>96</v>
      </c>
      <c r="D8" s="7">
        <v>-3.5</v>
      </c>
      <c r="E8" s="7" t="s">
        <v>181</v>
      </c>
      <c r="F8" s="7">
        <v>3.5</v>
      </c>
      <c r="G8" s="7">
        <v>136.0</v>
      </c>
      <c r="H8" s="8"/>
      <c r="I8" s="8"/>
    </row>
    <row r="9" hidden="1">
      <c r="A9" s="5">
        <v>46078.0</v>
      </c>
      <c r="B9" s="7" t="s">
        <v>99</v>
      </c>
      <c r="C9" s="7" t="s">
        <v>182</v>
      </c>
      <c r="D9" s="7">
        <v>1.0</v>
      </c>
      <c r="E9" s="7" t="s">
        <v>183</v>
      </c>
      <c r="F9" s="7">
        <v>-1.0</v>
      </c>
      <c r="G9" s="7">
        <v>166.0</v>
      </c>
      <c r="H9" s="8"/>
      <c r="I9" s="8"/>
    </row>
    <row r="10" hidden="1">
      <c r="A10" s="5">
        <v>46078.0</v>
      </c>
      <c r="B10" s="7" t="s">
        <v>99</v>
      </c>
      <c r="C10" s="7" t="s">
        <v>85</v>
      </c>
      <c r="D10" s="7">
        <v>-5.0</v>
      </c>
      <c r="E10" s="7" t="s">
        <v>86</v>
      </c>
      <c r="F10" s="7">
        <v>5.0</v>
      </c>
      <c r="G10" s="7">
        <v>155.0</v>
      </c>
      <c r="H10" s="8"/>
      <c r="I10" s="8"/>
    </row>
    <row r="11">
      <c r="A11" s="5">
        <v>46078.0</v>
      </c>
      <c r="B11" s="7" t="s">
        <v>99</v>
      </c>
      <c r="C11" s="7" t="s">
        <v>184</v>
      </c>
      <c r="D11" s="7">
        <v>1.5</v>
      </c>
      <c r="E11" s="7" t="s">
        <v>17</v>
      </c>
      <c r="F11" s="7">
        <v>-1.5</v>
      </c>
      <c r="G11" s="7">
        <v>161.0</v>
      </c>
      <c r="H11" s="8"/>
      <c r="I11" s="8"/>
    </row>
    <row r="12">
      <c r="A12" s="5">
        <v>46078.0</v>
      </c>
      <c r="B12" s="7" t="s">
        <v>99</v>
      </c>
      <c r="C12" s="7" t="s">
        <v>74</v>
      </c>
      <c r="D12" s="7">
        <v>-8.0</v>
      </c>
      <c r="E12" s="7" t="s">
        <v>87</v>
      </c>
      <c r="F12" s="7">
        <v>8.0</v>
      </c>
      <c r="G12" s="7">
        <v>171.0</v>
      </c>
      <c r="H12" s="8"/>
      <c r="I12" s="8"/>
    </row>
    <row r="13">
      <c r="A13" s="5">
        <v>46078.0</v>
      </c>
      <c r="B13" s="7" t="s">
        <v>99</v>
      </c>
      <c r="C13" s="7" t="s">
        <v>185</v>
      </c>
      <c r="D13" s="7">
        <v>-8.5</v>
      </c>
      <c r="E13" s="7" t="s">
        <v>186</v>
      </c>
      <c r="F13" s="7">
        <v>8.5</v>
      </c>
      <c r="G13" s="7">
        <v>149.0</v>
      </c>
      <c r="H13" s="8"/>
      <c r="I13" s="8"/>
    </row>
    <row r="14">
      <c r="A14" s="5">
        <v>46078.0</v>
      </c>
      <c r="B14" s="7" t="s">
        <v>99</v>
      </c>
      <c r="C14" s="7" t="s">
        <v>187</v>
      </c>
      <c r="D14" s="7">
        <v>12.0</v>
      </c>
      <c r="E14" s="7" t="s">
        <v>188</v>
      </c>
      <c r="F14" s="7">
        <v>-12.0</v>
      </c>
      <c r="G14" s="7">
        <v>152.0</v>
      </c>
      <c r="H14" s="8"/>
      <c r="I14" s="8"/>
    </row>
    <row r="15">
      <c r="A15" s="5">
        <v>46078.0</v>
      </c>
      <c r="B15" s="7" t="s">
        <v>99</v>
      </c>
      <c r="C15" s="7" t="s">
        <v>189</v>
      </c>
      <c r="D15" s="7">
        <v>6.0</v>
      </c>
      <c r="E15" s="7" t="s">
        <v>190</v>
      </c>
      <c r="F15" s="7">
        <v>-6.0</v>
      </c>
      <c r="G15" s="7">
        <v>140.0</v>
      </c>
      <c r="H15" s="8"/>
      <c r="I15" s="8"/>
    </row>
    <row r="16">
      <c r="A16" s="5">
        <v>46078.0</v>
      </c>
      <c r="B16" s="7" t="s">
        <v>99</v>
      </c>
      <c r="C16" s="7" t="s">
        <v>61</v>
      </c>
      <c r="D16" s="7">
        <v>8.0</v>
      </c>
      <c r="E16" s="7" t="s">
        <v>84</v>
      </c>
      <c r="F16" s="7">
        <v>-8.0</v>
      </c>
      <c r="G16" s="7">
        <v>152.0</v>
      </c>
      <c r="H16" s="8"/>
      <c r="I16" s="8"/>
    </row>
    <row r="17">
      <c r="A17" s="5">
        <v>46078.0</v>
      </c>
      <c r="B17" s="7" t="s">
        <v>99</v>
      </c>
      <c r="C17" s="7" t="s">
        <v>191</v>
      </c>
      <c r="D17" s="7">
        <v>10.0</v>
      </c>
      <c r="E17" s="7" t="s">
        <v>192</v>
      </c>
      <c r="F17" s="7">
        <v>-10.0</v>
      </c>
      <c r="G17" s="7">
        <v>164.0</v>
      </c>
      <c r="H17" s="8"/>
      <c r="I17" s="8"/>
    </row>
    <row r="18">
      <c r="A18" s="5">
        <v>46078.0</v>
      </c>
      <c r="B18" s="7" t="s">
        <v>99</v>
      </c>
      <c r="C18" s="7" t="s">
        <v>193</v>
      </c>
      <c r="D18" s="7">
        <v>21.0</v>
      </c>
      <c r="E18" s="7" t="s">
        <v>194</v>
      </c>
      <c r="F18" s="7">
        <v>-21.0</v>
      </c>
      <c r="G18" s="7">
        <v>138.0</v>
      </c>
      <c r="H18" s="8"/>
      <c r="I18" s="8"/>
    </row>
    <row r="19">
      <c r="A19" s="5">
        <v>46078.0</v>
      </c>
      <c r="B19" s="7" t="s">
        <v>99</v>
      </c>
      <c r="C19" s="7" t="s">
        <v>195</v>
      </c>
      <c r="D19" s="7">
        <v>3.0</v>
      </c>
      <c r="E19" s="7" t="s">
        <v>196</v>
      </c>
      <c r="F19" s="7">
        <v>-3.0</v>
      </c>
      <c r="G19" s="7">
        <v>146.0</v>
      </c>
      <c r="H19" s="8"/>
      <c r="I19" s="8"/>
    </row>
    <row r="20">
      <c r="A20" s="5">
        <v>46078.0</v>
      </c>
      <c r="B20" s="7" t="s">
        <v>143</v>
      </c>
      <c r="C20" s="7" t="s">
        <v>197</v>
      </c>
      <c r="D20" s="7">
        <v>24.0</v>
      </c>
      <c r="E20" s="7" t="s">
        <v>22</v>
      </c>
      <c r="F20" s="7">
        <v>-24.0</v>
      </c>
      <c r="G20" s="7">
        <v>153.0</v>
      </c>
      <c r="H20" s="8"/>
      <c r="I20" s="8"/>
    </row>
    <row r="21">
      <c r="A21" s="5">
        <v>46078.0</v>
      </c>
      <c r="B21" s="7" t="s">
        <v>143</v>
      </c>
      <c r="C21" s="7" t="s">
        <v>98</v>
      </c>
      <c r="D21" s="7">
        <v>-4.0</v>
      </c>
      <c r="E21" s="7" t="s">
        <v>77</v>
      </c>
      <c r="F21" s="7">
        <v>4.0</v>
      </c>
      <c r="G21" s="7">
        <v>161.0</v>
      </c>
      <c r="H21" s="8"/>
      <c r="I21" s="8"/>
    </row>
    <row r="22">
      <c r="A22" s="5">
        <v>46078.0</v>
      </c>
      <c r="B22" s="7" t="s">
        <v>149</v>
      </c>
      <c r="C22" s="7" t="s">
        <v>198</v>
      </c>
      <c r="D22" s="7">
        <v>7.0</v>
      </c>
      <c r="E22" s="7" t="s">
        <v>199</v>
      </c>
      <c r="F22" s="7">
        <v>-7.0</v>
      </c>
      <c r="G22" s="7">
        <v>143.0</v>
      </c>
      <c r="H22" s="8"/>
      <c r="I22" s="8"/>
    </row>
    <row r="23">
      <c r="A23" s="5">
        <v>46078.0</v>
      </c>
      <c r="B23" s="7" t="s">
        <v>149</v>
      </c>
      <c r="C23" s="7" t="s">
        <v>200</v>
      </c>
      <c r="D23" s="7">
        <v>5.0</v>
      </c>
      <c r="E23" s="7" t="s">
        <v>201</v>
      </c>
      <c r="F23" s="7">
        <v>-5.0</v>
      </c>
      <c r="G23" s="7">
        <v>146.0</v>
      </c>
      <c r="H23" s="8"/>
      <c r="I23" s="8"/>
    </row>
    <row r="24">
      <c r="A24" s="5">
        <v>46078.0</v>
      </c>
      <c r="B24" s="7" t="s">
        <v>149</v>
      </c>
      <c r="C24" s="7" t="s">
        <v>75</v>
      </c>
      <c r="D24" s="7">
        <v>1.0</v>
      </c>
      <c r="E24" s="7" t="s">
        <v>93</v>
      </c>
      <c r="F24" s="7">
        <v>-1.0</v>
      </c>
      <c r="G24" s="7">
        <v>148.0</v>
      </c>
      <c r="H24" s="8"/>
      <c r="I24" s="8"/>
    </row>
    <row r="25">
      <c r="A25" s="5">
        <v>46078.0</v>
      </c>
      <c r="B25" s="7" t="s">
        <v>149</v>
      </c>
      <c r="C25" s="7" t="s">
        <v>202</v>
      </c>
      <c r="D25" s="7">
        <v>-9.0</v>
      </c>
      <c r="E25" s="7" t="s">
        <v>76</v>
      </c>
      <c r="F25" s="7">
        <v>9.0</v>
      </c>
      <c r="G25" s="7">
        <v>158.0</v>
      </c>
      <c r="H25" s="8"/>
      <c r="I25" s="8"/>
    </row>
    <row r="26">
      <c r="A26" s="5">
        <v>46078.0</v>
      </c>
      <c r="B26" s="7" t="s">
        <v>149</v>
      </c>
      <c r="C26" s="7" t="s">
        <v>203</v>
      </c>
      <c r="D26" s="7">
        <v>-4.0</v>
      </c>
      <c r="E26" s="7" t="s">
        <v>97</v>
      </c>
      <c r="F26" s="7">
        <v>4.0</v>
      </c>
      <c r="G26" s="7">
        <v>149.0</v>
      </c>
      <c r="H26" s="8"/>
      <c r="I26" s="8"/>
    </row>
    <row r="27">
      <c r="A27" s="5">
        <v>46078.0</v>
      </c>
      <c r="B27" s="7" t="s">
        <v>149</v>
      </c>
      <c r="C27" s="7" t="s">
        <v>204</v>
      </c>
      <c r="D27" s="7">
        <v>6.5</v>
      </c>
      <c r="E27" s="7" t="s">
        <v>205</v>
      </c>
      <c r="F27" s="7">
        <v>-6.5</v>
      </c>
      <c r="G27" s="7">
        <v>157.0</v>
      </c>
      <c r="H27" s="8"/>
      <c r="I27" s="8"/>
    </row>
    <row r="28">
      <c r="A28" s="5">
        <v>46078.0</v>
      </c>
      <c r="B28" s="7" t="s">
        <v>149</v>
      </c>
      <c r="C28" s="7" t="s">
        <v>21</v>
      </c>
      <c r="D28" s="7">
        <v>10.0</v>
      </c>
      <c r="E28" s="7" t="s">
        <v>206</v>
      </c>
      <c r="F28" s="7">
        <v>-10.0</v>
      </c>
      <c r="G28" s="7">
        <v>137.0</v>
      </c>
      <c r="H28" s="8"/>
      <c r="I28" s="8"/>
    </row>
    <row r="29">
      <c r="A29" s="5">
        <v>46078.0</v>
      </c>
      <c r="B29" s="7" t="s">
        <v>151</v>
      </c>
      <c r="C29" s="7" t="s">
        <v>207</v>
      </c>
      <c r="D29" s="7">
        <v>18.0</v>
      </c>
      <c r="E29" s="7" t="s">
        <v>208</v>
      </c>
      <c r="F29" s="7">
        <v>-18.0</v>
      </c>
      <c r="G29" s="7">
        <v>145.0</v>
      </c>
      <c r="H29" s="8"/>
      <c r="I29" s="8"/>
    </row>
    <row r="30">
      <c r="A30" s="5">
        <v>46078.0</v>
      </c>
      <c r="B30" s="7" t="s">
        <v>102</v>
      </c>
      <c r="C30" s="7" t="s">
        <v>27</v>
      </c>
      <c r="D30" s="7">
        <v>9.0</v>
      </c>
      <c r="E30" s="7" t="s">
        <v>209</v>
      </c>
      <c r="F30" s="7">
        <v>-9.0</v>
      </c>
      <c r="G30" s="7">
        <v>165.0</v>
      </c>
      <c r="H30" s="8"/>
      <c r="I30" s="8"/>
    </row>
    <row r="31">
      <c r="A31" s="5">
        <v>46078.0</v>
      </c>
      <c r="B31" s="7" t="s">
        <v>102</v>
      </c>
      <c r="C31" s="7" t="s">
        <v>210</v>
      </c>
      <c r="D31" s="7">
        <v>11.0</v>
      </c>
      <c r="E31" s="7" t="s">
        <v>211</v>
      </c>
      <c r="F31" s="7">
        <v>-11.0</v>
      </c>
      <c r="G31" s="7">
        <v>167.0</v>
      </c>
      <c r="H31" s="8"/>
      <c r="I31" s="8"/>
    </row>
    <row r="32">
      <c r="A32" s="5">
        <v>46078.0</v>
      </c>
      <c r="B32" s="7" t="s">
        <v>102</v>
      </c>
      <c r="C32" s="7" t="s">
        <v>16</v>
      </c>
      <c r="D32" s="7">
        <v>8.0</v>
      </c>
      <c r="E32" s="7" t="s">
        <v>212</v>
      </c>
      <c r="F32" s="7">
        <v>-8.0</v>
      </c>
      <c r="G32" s="7">
        <v>146.0</v>
      </c>
      <c r="H32" s="8"/>
      <c r="I32" s="8"/>
    </row>
    <row r="33">
      <c r="A33" s="5">
        <v>46078.0</v>
      </c>
      <c r="B33" s="7" t="s">
        <v>102</v>
      </c>
      <c r="C33" s="7" t="s">
        <v>46</v>
      </c>
      <c r="D33" s="7">
        <v>-7.0</v>
      </c>
      <c r="E33" s="7" t="s">
        <v>23</v>
      </c>
      <c r="F33" s="7">
        <v>7.0</v>
      </c>
      <c r="G33" s="7">
        <v>132.0</v>
      </c>
      <c r="H33" s="8"/>
      <c r="I33" s="8"/>
    </row>
    <row r="34">
      <c r="A34" s="5">
        <v>46078.0</v>
      </c>
      <c r="B34" s="7" t="s">
        <v>102</v>
      </c>
      <c r="C34" s="7" t="s">
        <v>213</v>
      </c>
      <c r="D34" s="7">
        <v>5.5</v>
      </c>
      <c r="E34" s="7" t="s">
        <v>214</v>
      </c>
      <c r="F34" s="7">
        <v>-5.5</v>
      </c>
      <c r="G34" s="7">
        <v>154.0</v>
      </c>
      <c r="H34" s="8"/>
      <c r="I34" s="8"/>
    </row>
    <row r="35">
      <c r="A35" s="5">
        <v>46078.0</v>
      </c>
      <c r="B35" s="7" t="s">
        <v>102</v>
      </c>
      <c r="C35" s="7" t="s">
        <v>45</v>
      </c>
      <c r="D35" s="7">
        <v>30.0</v>
      </c>
      <c r="E35" s="7" t="s">
        <v>34</v>
      </c>
      <c r="F35" s="7">
        <v>-30.0</v>
      </c>
      <c r="G35" s="7">
        <v>148.0</v>
      </c>
      <c r="H35" s="8"/>
      <c r="I35" s="8"/>
    </row>
    <row r="36">
      <c r="A36" s="5">
        <v>46078.0</v>
      </c>
      <c r="B36" s="7" t="s">
        <v>102</v>
      </c>
      <c r="C36" s="7" t="s">
        <v>215</v>
      </c>
      <c r="D36" s="7">
        <v>12.5</v>
      </c>
      <c r="E36" s="7" t="s">
        <v>12</v>
      </c>
      <c r="F36" s="7">
        <v>-12.5</v>
      </c>
      <c r="G36" s="7">
        <v>145.0</v>
      </c>
      <c r="H36" s="8"/>
      <c r="I36" s="8"/>
    </row>
    <row r="37">
      <c r="A37" s="5">
        <v>46078.0</v>
      </c>
      <c r="B37" s="7" t="s">
        <v>102</v>
      </c>
      <c r="C37" s="7" t="s">
        <v>71</v>
      </c>
      <c r="D37" s="7">
        <v>4.0</v>
      </c>
      <c r="E37" s="7" t="s">
        <v>63</v>
      </c>
      <c r="F37" s="7">
        <v>-4.0</v>
      </c>
      <c r="G37" s="7">
        <v>150.0</v>
      </c>
      <c r="H37" s="8"/>
      <c r="I37" s="8"/>
    </row>
    <row r="38">
      <c r="A38" s="5">
        <v>46078.0</v>
      </c>
      <c r="B38" s="7" t="s">
        <v>102</v>
      </c>
      <c r="C38" s="7" t="s">
        <v>216</v>
      </c>
      <c r="D38" s="7">
        <v>8.0</v>
      </c>
      <c r="E38" s="7" t="s">
        <v>217</v>
      </c>
      <c r="F38" s="7">
        <v>-8.0</v>
      </c>
      <c r="G38" s="7">
        <v>160.0</v>
      </c>
      <c r="H38" s="8"/>
      <c r="I38" s="8"/>
    </row>
    <row r="39">
      <c r="A39" s="5">
        <v>46078.0</v>
      </c>
      <c r="B39" s="7" t="s">
        <v>218</v>
      </c>
      <c r="C39" s="7" t="s">
        <v>219</v>
      </c>
      <c r="D39" s="7">
        <v>-2.0</v>
      </c>
      <c r="E39" s="7" t="s">
        <v>220</v>
      </c>
      <c r="F39" s="7">
        <v>2.0</v>
      </c>
      <c r="G39" s="7">
        <v>164.0</v>
      </c>
      <c r="H39" s="8"/>
      <c r="I39" s="8"/>
    </row>
    <row r="40">
      <c r="A40" s="5">
        <v>46078.0</v>
      </c>
      <c r="B40" s="7" t="s">
        <v>218</v>
      </c>
      <c r="C40" s="7" t="s">
        <v>221</v>
      </c>
      <c r="D40" s="7">
        <v>7.0</v>
      </c>
      <c r="E40" s="7" t="s">
        <v>24</v>
      </c>
      <c r="F40" s="7">
        <v>-7.0</v>
      </c>
      <c r="G40" s="7">
        <v>151.0</v>
      </c>
      <c r="H40" s="8"/>
      <c r="I40" s="8"/>
    </row>
    <row r="41">
      <c r="A41" s="5">
        <v>46078.0</v>
      </c>
      <c r="B41" s="7" t="s">
        <v>168</v>
      </c>
      <c r="C41" s="7" t="s">
        <v>43</v>
      </c>
      <c r="D41" s="7">
        <v>2.0</v>
      </c>
      <c r="E41" s="7" t="s">
        <v>222</v>
      </c>
      <c r="F41" s="7">
        <v>-2.0</v>
      </c>
      <c r="G41" s="7">
        <v>144.0</v>
      </c>
      <c r="H41" s="8"/>
      <c r="I41" s="8"/>
    </row>
    <row r="42">
      <c r="A42" s="5">
        <v>46078.0</v>
      </c>
      <c r="B42" s="7" t="s">
        <v>168</v>
      </c>
      <c r="C42" s="7" t="s">
        <v>47</v>
      </c>
      <c r="D42" s="7">
        <v>7.0</v>
      </c>
      <c r="E42" s="7" t="s">
        <v>53</v>
      </c>
      <c r="F42" s="7">
        <v>-7.0</v>
      </c>
      <c r="G42" s="7">
        <v>147.0</v>
      </c>
      <c r="H42" s="8"/>
      <c r="I42" s="8"/>
    </row>
    <row r="43">
      <c r="A43" s="5">
        <v>46078.0</v>
      </c>
      <c r="B43" s="7" t="s">
        <v>168</v>
      </c>
      <c r="C43" s="7" t="s">
        <v>65</v>
      </c>
      <c r="D43" s="7">
        <v>-10.0</v>
      </c>
      <c r="E43" s="7" t="s">
        <v>223</v>
      </c>
      <c r="F43" s="7">
        <v>10.0</v>
      </c>
      <c r="G43" s="7">
        <v>154.0</v>
      </c>
      <c r="H43" s="8"/>
      <c r="I43" s="8"/>
    </row>
    <row r="44">
      <c r="A44" s="5">
        <v>46078.0</v>
      </c>
      <c r="B44" s="7" t="s">
        <v>168</v>
      </c>
      <c r="C44" s="7" t="s">
        <v>54</v>
      </c>
      <c r="D44" s="7">
        <v>-1.5</v>
      </c>
      <c r="E44" s="7" t="s">
        <v>224</v>
      </c>
      <c r="F44" s="7">
        <v>1.5</v>
      </c>
      <c r="G44" s="7">
        <v>153.0</v>
      </c>
      <c r="H44" s="8"/>
      <c r="I44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>
      <c r="A2" s="5">
        <v>46079.0</v>
      </c>
      <c r="B2" s="7" t="s">
        <v>225</v>
      </c>
      <c r="C2" s="7" t="s">
        <v>226</v>
      </c>
      <c r="D2" s="7">
        <v>-5.0</v>
      </c>
      <c r="E2" s="7" t="s">
        <v>227</v>
      </c>
      <c r="F2" s="7">
        <v>5.0</v>
      </c>
      <c r="G2" s="7">
        <v>140.0</v>
      </c>
      <c r="H2" s="8"/>
      <c r="I2" s="8"/>
    </row>
    <row r="3">
      <c r="A3" s="5">
        <v>46079.0</v>
      </c>
      <c r="B3" s="7" t="s">
        <v>228</v>
      </c>
      <c r="C3" s="7" t="s">
        <v>177</v>
      </c>
      <c r="D3" s="7">
        <v>1.0</v>
      </c>
      <c r="E3" s="7" t="s">
        <v>178</v>
      </c>
      <c r="F3" s="7">
        <v>-1.0</v>
      </c>
      <c r="G3" s="7">
        <v>148.0</v>
      </c>
      <c r="H3" s="8"/>
      <c r="I3" s="8"/>
    </row>
    <row r="4">
      <c r="A4" s="5">
        <v>46079.0</v>
      </c>
      <c r="B4" s="7" t="s">
        <v>99</v>
      </c>
      <c r="C4" s="7" t="s">
        <v>229</v>
      </c>
      <c r="D4" s="7">
        <v>-4.0</v>
      </c>
      <c r="E4" s="7" t="s">
        <v>230</v>
      </c>
      <c r="F4" s="7">
        <v>4.0</v>
      </c>
      <c r="G4" s="7">
        <v>160.0</v>
      </c>
      <c r="H4" s="8"/>
      <c r="I4" s="8"/>
    </row>
    <row r="5">
      <c r="A5" s="5">
        <v>46079.0</v>
      </c>
      <c r="B5" s="7" t="s">
        <v>99</v>
      </c>
      <c r="C5" s="7" t="s">
        <v>231</v>
      </c>
      <c r="D5" s="7">
        <v>4.0</v>
      </c>
      <c r="E5" s="7" t="s">
        <v>232</v>
      </c>
      <c r="F5" s="7">
        <v>-4.0</v>
      </c>
      <c r="G5" s="7">
        <v>139.0</v>
      </c>
      <c r="H5" s="8"/>
      <c r="I5" s="8"/>
    </row>
    <row r="6">
      <c r="A6" s="5">
        <v>46079.0</v>
      </c>
      <c r="B6" s="7" t="s">
        <v>99</v>
      </c>
      <c r="C6" s="7" t="s">
        <v>233</v>
      </c>
      <c r="D6" s="7">
        <v>5.0</v>
      </c>
      <c r="E6" s="7" t="s">
        <v>95</v>
      </c>
      <c r="F6" s="7">
        <v>-5.0</v>
      </c>
      <c r="G6" s="7">
        <v>151.0</v>
      </c>
      <c r="H6" s="8"/>
      <c r="I6" s="8"/>
    </row>
    <row r="7">
      <c r="A7" s="5">
        <v>46079.0</v>
      </c>
      <c r="B7" s="7" t="s">
        <v>99</v>
      </c>
      <c r="C7" s="7" t="s">
        <v>234</v>
      </c>
      <c r="D7" s="7">
        <v>2.0</v>
      </c>
      <c r="E7" s="7" t="s">
        <v>235</v>
      </c>
      <c r="F7" s="7">
        <v>-2.0</v>
      </c>
      <c r="G7" s="7">
        <v>153.0</v>
      </c>
      <c r="H7" s="8"/>
      <c r="I7" s="8"/>
    </row>
    <row r="8">
      <c r="A8" s="5">
        <v>46079.0</v>
      </c>
      <c r="B8" s="7" t="s">
        <v>99</v>
      </c>
      <c r="C8" s="7" t="s">
        <v>236</v>
      </c>
      <c r="D8" s="7">
        <v>10.0</v>
      </c>
      <c r="E8" s="7" t="s">
        <v>237</v>
      </c>
      <c r="F8" s="7">
        <v>-10.0</v>
      </c>
      <c r="G8" s="7">
        <v>137.0</v>
      </c>
      <c r="H8" s="8"/>
      <c r="I8" s="8"/>
    </row>
    <row r="9">
      <c r="A9" s="5">
        <v>46079.0</v>
      </c>
      <c r="B9" s="7" t="s">
        <v>99</v>
      </c>
      <c r="C9" s="7" t="s">
        <v>238</v>
      </c>
      <c r="D9" s="7">
        <v>5.0</v>
      </c>
      <c r="E9" s="7" t="s">
        <v>80</v>
      </c>
      <c r="F9" s="7">
        <v>-5.0</v>
      </c>
      <c r="G9" s="7">
        <v>148.5</v>
      </c>
      <c r="H9" s="8"/>
      <c r="I9" s="8"/>
    </row>
    <row r="10">
      <c r="A10" s="5">
        <v>46079.0</v>
      </c>
      <c r="B10" s="7" t="s">
        <v>99</v>
      </c>
      <c r="C10" s="7" t="s">
        <v>239</v>
      </c>
      <c r="D10" s="7">
        <v>1.5</v>
      </c>
      <c r="E10" s="7" t="s">
        <v>81</v>
      </c>
      <c r="F10" s="7">
        <v>-1.5</v>
      </c>
      <c r="G10" s="7">
        <v>149.5</v>
      </c>
      <c r="H10" s="8"/>
      <c r="I10" s="8"/>
    </row>
    <row r="11">
      <c r="A11" s="5">
        <v>46079.0</v>
      </c>
      <c r="B11" s="7" t="s">
        <v>99</v>
      </c>
      <c r="C11" s="7" t="s">
        <v>240</v>
      </c>
      <c r="D11" s="7">
        <v>12.5</v>
      </c>
      <c r="E11" s="7" t="s">
        <v>241</v>
      </c>
      <c r="F11" s="7">
        <v>-12.5</v>
      </c>
      <c r="G11" s="7">
        <v>168.0</v>
      </c>
      <c r="H11" s="8"/>
      <c r="I11" s="8"/>
    </row>
    <row r="12">
      <c r="A12" s="5">
        <v>46079.0</v>
      </c>
      <c r="B12" s="7" t="s">
        <v>99</v>
      </c>
      <c r="C12" s="7" t="s">
        <v>242</v>
      </c>
      <c r="D12" s="7">
        <v>17.0</v>
      </c>
      <c r="E12" s="7" t="s">
        <v>243</v>
      </c>
      <c r="F12" s="7">
        <v>-17.0</v>
      </c>
      <c r="G12" s="7">
        <v>146.5</v>
      </c>
      <c r="H12" s="8"/>
      <c r="I12" s="8"/>
    </row>
    <row r="13">
      <c r="A13" s="5">
        <v>46079.0</v>
      </c>
      <c r="B13" s="7" t="s">
        <v>143</v>
      </c>
      <c r="C13" s="7" t="s">
        <v>38</v>
      </c>
      <c r="D13" s="7">
        <v>4.5</v>
      </c>
      <c r="E13" s="7" t="s">
        <v>244</v>
      </c>
      <c r="F13" s="7">
        <v>-4.5</v>
      </c>
      <c r="G13" s="7">
        <v>156.0</v>
      </c>
      <c r="H13" s="8"/>
      <c r="I13" s="8"/>
    </row>
    <row r="14">
      <c r="A14" s="5">
        <v>46079.0</v>
      </c>
      <c r="B14" s="7" t="s">
        <v>143</v>
      </c>
      <c r="C14" s="7" t="s">
        <v>245</v>
      </c>
      <c r="D14" s="7">
        <v>4.5</v>
      </c>
      <c r="E14" s="7" t="s">
        <v>246</v>
      </c>
      <c r="F14" s="7">
        <v>-4.5</v>
      </c>
      <c r="G14" s="7">
        <v>140.5</v>
      </c>
      <c r="H14" s="8"/>
      <c r="I14" s="8"/>
    </row>
    <row r="15">
      <c r="A15" s="5">
        <v>46079.0</v>
      </c>
      <c r="B15" s="7" t="s">
        <v>143</v>
      </c>
      <c r="C15" s="7" t="s">
        <v>37</v>
      </c>
      <c r="D15" s="7">
        <v>6.5</v>
      </c>
      <c r="E15" s="7" t="s">
        <v>247</v>
      </c>
      <c r="F15" s="7">
        <v>-6.5</v>
      </c>
      <c r="G15" s="7">
        <v>144.5</v>
      </c>
      <c r="H15" s="8"/>
      <c r="I15" s="8"/>
    </row>
    <row r="16">
      <c r="A16" s="5">
        <v>46079.0</v>
      </c>
      <c r="B16" s="7" t="s">
        <v>149</v>
      </c>
      <c r="C16" s="7" t="s">
        <v>248</v>
      </c>
      <c r="D16" s="7">
        <v>-4.5</v>
      </c>
      <c r="E16" s="7" t="s">
        <v>18</v>
      </c>
      <c r="F16" s="7">
        <v>4.5</v>
      </c>
      <c r="G16" s="7">
        <v>160.0</v>
      </c>
      <c r="H16" s="8"/>
      <c r="I16" s="8"/>
    </row>
    <row r="17">
      <c r="A17" s="5">
        <v>46079.0</v>
      </c>
      <c r="B17" s="7" t="s">
        <v>149</v>
      </c>
      <c r="C17" s="7" t="s">
        <v>249</v>
      </c>
      <c r="D17" s="7">
        <v>-10.5</v>
      </c>
      <c r="E17" s="7" t="s">
        <v>250</v>
      </c>
      <c r="F17" s="7">
        <v>10.5</v>
      </c>
      <c r="G17" s="7">
        <v>146.5</v>
      </c>
      <c r="H17" s="8"/>
      <c r="I17" s="8"/>
    </row>
    <row r="18">
      <c r="A18" s="5">
        <v>46079.0</v>
      </c>
      <c r="B18" s="7" t="s">
        <v>149</v>
      </c>
      <c r="C18" s="7" t="s">
        <v>251</v>
      </c>
      <c r="D18" s="7">
        <v>15.5</v>
      </c>
      <c r="E18" s="7" t="s">
        <v>252</v>
      </c>
      <c r="F18" s="7">
        <v>-15.5</v>
      </c>
      <c r="G18" s="7">
        <v>147.5</v>
      </c>
      <c r="H18" s="8"/>
      <c r="I18" s="8"/>
    </row>
    <row r="19">
      <c r="A19" s="5">
        <v>46079.0</v>
      </c>
      <c r="B19" s="7" t="s">
        <v>149</v>
      </c>
      <c r="C19" s="7" t="s">
        <v>148</v>
      </c>
      <c r="D19" s="7">
        <v>1.5</v>
      </c>
      <c r="E19" s="7" t="s">
        <v>253</v>
      </c>
      <c r="F19" s="7">
        <v>-1.5</v>
      </c>
      <c r="G19" s="7">
        <v>145.0</v>
      </c>
      <c r="H19" s="8"/>
      <c r="I19" s="8"/>
    </row>
    <row r="20">
      <c r="A20" s="5">
        <v>46079.0</v>
      </c>
      <c r="B20" s="7" t="s">
        <v>149</v>
      </c>
      <c r="C20" s="7" t="s">
        <v>72</v>
      </c>
      <c r="D20" s="7">
        <v>5.5</v>
      </c>
      <c r="E20" s="7" t="s">
        <v>254</v>
      </c>
      <c r="F20" s="7">
        <v>-5.5</v>
      </c>
      <c r="G20" s="7">
        <v>145.0</v>
      </c>
      <c r="H20" s="8"/>
      <c r="I20" s="8"/>
    </row>
    <row r="21">
      <c r="A21" s="5">
        <v>46079.0</v>
      </c>
      <c r="B21" s="7" t="s">
        <v>149</v>
      </c>
      <c r="C21" s="7" t="s">
        <v>255</v>
      </c>
      <c r="D21" s="7">
        <v>19.5</v>
      </c>
      <c r="E21" s="7" t="s">
        <v>256</v>
      </c>
      <c r="F21" s="7">
        <v>-19.5</v>
      </c>
      <c r="G21" s="7">
        <v>161.0</v>
      </c>
      <c r="H21" s="8"/>
      <c r="I21" s="8"/>
    </row>
    <row r="22">
      <c r="A22" s="5">
        <v>46079.0</v>
      </c>
      <c r="B22" s="7" t="s">
        <v>151</v>
      </c>
      <c r="C22" s="7" t="s">
        <v>257</v>
      </c>
      <c r="D22" s="7">
        <v>7.5</v>
      </c>
      <c r="E22" s="7" t="s">
        <v>258</v>
      </c>
      <c r="F22" s="7">
        <v>-7.5</v>
      </c>
      <c r="G22" s="7">
        <v>142.0</v>
      </c>
      <c r="H22" s="8"/>
      <c r="I22" s="8"/>
    </row>
    <row r="23">
      <c r="A23" s="5">
        <v>46079.0</v>
      </c>
      <c r="B23" s="7" t="s">
        <v>151</v>
      </c>
      <c r="C23" s="7" t="s">
        <v>259</v>
      </c>
      <c r="D23" s="7">
        <v>2.0</v>
      </c>
      <c r="E23" s="7" t="s">
        <v>260</v>
      </c>
      <c r="F23" s="7">
        <v>-2.0</v>
      </c>
      <c r="G23" s="7">
        <v>160.5</v>
      </c>
      <c r="H23" s="8"/>
      <c r="I23" s="8"/>
    </row>
    <row r="24">
      <c r="A24" s="5">
        <v>46079.0</v>
      </c>
      <c r="B24" s="7" t="s">
        <v>151</v>
      </c>
      <c r="C24" s="7" t="s">
        <v>261</v>
      </c>
      <c r="D24" s="7">
        <v>11.5</v>
      </c>
      <c r="E24" s="7" t="s">
        <v>262</v>
      </c>
      <c r="F24" s="7">
        <v>-11.5</v>
      </c>
      <c r="G24" s="7">
        <v>140.0</v>
      </c>
      <c r="H24" s="8"/>
      <c r="I24" s="8"/>
    </row>
    <row r="25">
      <c r="A25" s="5">
        <v>46079.0</v>
      </c>
      <c r="B25" s="7" t="s">
        <v>151</v>
      </c>
      <c r="C25" s="7" t="s">
        <v>263</v>
      </c>
      <c r="D25" s="7">
        <v>16.5</v>
      </c>
      <c r="E25" s="7" t="s">
        <v>264</v>
      </c>
      <c r="F25" s="7">
        <v>-16.5</v>
      </c>
      <c r="G25" s="7">
        <v>135.5</v>
      </c>
      <c r="H25" s="8"/>
      <c r="I25" s="8"/>
    </row>
    <row r="26">
      <c r="A26" s="5">
        <v>46079.0</v>
      </c>
      <c r="B26" s="7" t="s">
        <v>102</v>
      </c>
      <c r="C26" s="7" t="s">
        <v>265</v>
      </c>
      <c r="D26" s="7">
        <v>1.5</v>
      </c>
      <c r="E26" s="7" t="s">
        <v>68</v>
      </c>
      <c r="F26" s="7">
        <v>-1.5</v>
      </c>
      <c r="G26" s="7">
        <v>150.0</v>
      </c>
      <c r="H26" s="8"/>
      <c r="I26" s="8"/>
    </row>
    <row r="27">
      <c r="A27" s="5">
        <v>46079.0</v>
      </c>
      <c r="B27" s="7" t="s">
        <v>102</v>
      </c>
      <c r="C27" s="7" t="s">
        <v>266</v>
      </c>
      <c r="D27" s="7">
        <v>5.5</v>
      </c>
      <c r="E27" s="7" t="s">
        <v>267</v>
      </c>
      <c r="F27" s="7">
        <v>-5.5</v>
      </c>
      <c r="G27" s="7">
        <v>158.0</v>
      </c>
      <c r="H27" s="8"/>
      <c r="I27" s="8"/>
    </row>
    <row r="28">
      <c r="A28" s="5">
        <v>46079.0</v>
      </c>
      <c r="B28" s="7" t="s">
        <v>102</v>
      </c>
      <c r="C28" s="7" t="s">
        <v>9</v>
      </c>
      <c r="D28" s="7">
        <v>10.5</v>
      </c>
      <c r="E28" s="7" t="s">
        <v>49</v>
      </c>
      <c r="F28" s="7">
        <v>-10.5</v>
      </c>
      <c r="G28" s="7">
        <v>151.5</v>
      </c>
      <c r="H28" s="8"/>
      <c r="I28" s="8"/>
    </row>
    <row r="29">
      <c r="A29" s="5">
        <v>46079.0</v>
      </c>
      <c r="B29" s="7" t="s">
        <v>102</v>
      </c>
      <c r="C29" s="7" t="s">
        <v>268</v>
      </c>
      <c r="D29" s="7">
        <v>6.5</v>
      </c>
      <c r="E29" s="7" t="s">
        <v>269</v>
      </c>
      <c r="F29" s="7">
        <v>-6.5</v>
      </c>
      <c r="G29" s="7">
        <v>164.5</v>
      </c>
      <c r="H29" s="8"/>
      <c r="I29" s="8"/>
    </row>
    <row r="30">
      <c r="A30" s="5">
        <v>46079.0</v>
      </c>
      <c r="B30" s="7" t="s">
        <v>102</v>
      </c>
      <c r="C30" s="7" t="s">
        <v>50</v>
      </c>
      <c r="D30" s="7">
        <v>5.5</v>
      </c>
      <c r="E30" s="7" t="s">
        <v>41</v>
      </c>
      <c r="F30" s="7">
        <v>-5.5</v>
      </c>
      <c r="G30" s="7">
        <v>163.0</v>
      </c>
      <c r="H30" s="8"/>
      <c r="I30" s="8"/>
    </row>
    <row r="31">
      <c r="A31" s="5">
        <v>46079.0</v>
      </c>
      <c r="B31" s="7" t="s">
        <v>102</v>
      </c>
      <c r="C31" s="7" t="s">
        <v>270</v>
      </c>
      <c r="D31" s="7">
        <v>6.0</v>
      </c>
      <c r="E31" s="7" t="s">
        <v>271</v>
      </c>
      <c r="F31" s="7">
        <v>-6.0</v>
      </c>
      <c r="G31" s="7">
        <v>144.0</v>
      </c>
      <c r="H31" s="8"/>
      <c r="I31" s="8"/>
    </row>
    <row r="32">
      <c r="A32" s="5">
        <v>46079.0</v>
      </c>
      <c r="B32" s="7" t="s">
        <v>102</v>
      </c>
      <c r="C32" s="7" t="s">
        <v>56</v>
      </c>
      <c r="D32" s="7">
        <v>-3.5</v>
      </c>
      <c r="E32" s="7" t="s">
        <v>272</v>
      </c>
      <c r="F32" s="7">
        <v>3.5</v>
      </c>
      <c r="G32" s="7">
        <v>147.0</v>
      </c>
      <c r="H32" s="8"/>
      <c r="I32" s="8"/>
    </row>
    <row r="33">
      <c r="A33" s="5">
        <v>46079.0</v>
      </c>
      <c r="B33" s="7" t="s">
        <v>102</v>
      </c>
      <c r="C33" s="7" t="s">
        <v>273</v>
      </c>
      <c r="D33" s="7">
        <v>14.0</v>
      </c>
      <c r="E33" s="7" t="s">
        <v>55</v>
      </c>
      <c r="F33" s="7">
        <v>-14.0</v>
      </c>
      <c r="G33" s="7">
        <v>147.0</v>
      </c>
      <c r="H33" s="8"/>
      <c r="I33" s="8"/>
    </row>
    <row r="34">
      <c r="A34" s="5">
        <v>46079.0</v>
      </c>
      <c r="B34" s="7" t="s">
        <v>102</v>
      </c>
      <c r="C34" s="7" t="s">
        <v>10</v>
      </c>
      <c r="D34" s="7">
        <v>5.0</v>
      </c>
      <c r="E34" s="7" t="s">
        <v>274</v>
      </c>
      <c r="F34" s="7">
        <v>-5.0</v>
      </c>
      <c r="G34" s="7">
        <v>160.0</v>
      </c>
      <c r="H34" s="8"/>
      <c r="I34" s="8"/>
    </row>
    <row r="35">
      <c r="A35" s="5">
        <v>46079.0</v>
      </c>
      <c r="B35" s="7" t="s">
        <v>102</v>
      </c>
      <c r="C35" s="7" t="s">
        <v>275</v>
      </c>
      <c r="D35" s="7">
        <v>4.0</v>
      </c>
      <c r="E35" s="7" t="s">
        <v>276</v>
      </c>
      <c r="F35" s="7">
        <v>-4.0</v>
      </c>
      <c r="G35" s="7">
        <v>141.0</v>
      </c>
      <c r="H35" s="8"/>
      <c r="I35" s="8"/>
    </row>
    <row r="36">
      <c r="A36" s="5">
        <v>46079.0</v>
      </c>
      <c r="B36" s="7" t="s">
        <v>218</v>
      </c>
      <c r="C36" s="7" t="s">
        <v>32</v>
      </c>
      <c r="D36" s="7">
        <v>7.0</v>
      </c>
      <c r="E36" s="7" t="s">
        <v>277</v>
      </c>
      <c r="F36" s="7">
        <v>-7.0</v>
      </c>
      <c r="G36" s="7">
        <v>163.0</v>
      </c>
      <c r="H36" s="8"/>
      <c r="I36" s="8"/>
    </row>
    <row r="37">
      <c r="A37" s="5">
        <v>46079.0</v>
      </c>
      <c r="B37" s="7" t="s">
        <v>218</v>
      </c>
      <c r="C37" s="7" t="s">
        <v>52</v>
      </c>
      <c r="D37" s="7">
        <v>-3.0</v>
      </c>
      <c r="E37" s="7" t="s">
        <v>31</v>
      </c>
      <c r="F37" s="7">
        <v>3.0</v>
      </c>
      <c r="G37" s="7">
        <v>151.0</v>
      </c>
      <c r="H37" s="8"/>
      <c r="I37" s="8"/>
    </row>
    <row r="38">
      <c r="A38" s="5">
        <v>46079.0</v>
      </c>
      <c r="B38" s="7" t="s">
        <v>218</v>
      </c>
      <c r="C38" s="7" t="s">
        <v>278</v>
      </c>
      <c r="D38" s="7">
        <v>6.0</v>
      </c>
      <c r="E38" s="7" t="s">
        <v>279</v>
      </c>
      <c r="F38" s="7">
        <v>-6.0</v>
      </c>
      <c r="G38" s="7">
        <v>138.0</v>
      </c>
      <c r="H38" s="8"/>
      <c r="I38" s="8"/>
    </row>
    <row r="39">
      <c r="A39" s="5">
        <v>46079.0</v>
      </c>
      <c r="B39" s="7" t="s">
        <v>218</v>
      </c>
      <c r="C39" s="7" t="s">
        <v>40</v>
      </c>
      <c r="D39" s="7">
        <v>18.0</v>
      </c>
      <c r="E39" s="7" t="s">
        <v>51</v>
      </c>
      <c r="F39" s="7">
        <v>-18.0</v>
      </c>
      <c r="G39" s="7">
        <v>154.0</v>
      </c>
      <c r="H39" s="8"/>
      <c r="I39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0.75"/>
    <col customWidth="1" min="3" max="3" width="21.25"/>
    <col customWidth="1" min="4" max="9" width="21.38"/>
    <col customWidth="1" min="10" max="10" width="25.38"/>
    <col customWidth="1" min="11" max="13" width="16.25"/>
  </cols>
  <sheetData>
    <row r="1">
      <c r="A1" s="9" t="s">
        <v>280</v>
      </c>
      <c r="B1" s="10" t="s">
        <v>2</v>
      </c>
      <c r="C1" s="10" t="s">
        <v>4</v>
      </c>
      <c r="D1" s="10" t="s">
        <v>281</v>
      </c>
      <c r="E1" s="10" t="s">
        <v>282</v>
      </c>
      <c r="F1" s="10" t="s">
        <v>283</v>
      </c>
      <c r="G1" s="10" t="s">
        <v>284</v>
      </c>
      <c r="H1" s="10" t="s">
        <v>6</v>
      </c>
      <c r="I1" s="10" t="s">
        <v>285</v>
      </c>
      <c r="J1" s="10" t="s">
        <v>286</v>
      </c>
      <c r="K1" s="10" t="s">
        <v>287</v>
      </c>
      <c r="L1" s="10" t="s">
        <v>288</v>
      </c>
      <c r="M1" s="10" t="s">
        <v>289</v>
      </c>
    </row>
    <row r="2">
      <c r="A2" s="11">
        <v>0.75</v>
      </c>
      <c r="B2" s="12" t="s">
        <v>290</v>
      </c>
      <c r="C2" s="12" t="s">
        <v>137</v>
      </c>
      <c r="D2" s="13">
        <v>-15.0</v>
      </c>
      <c r="E2" s="13">
        <v>-11.5</v>
      </c>
      <c r="F2" s="13">
        <v>15.0</v>
      </c>
      <c r="G2" s="13">
        <v>11.5</v>
      </c>
      <c r="H2" s="13">
        <v>164.0</v>
      </c>
      <c r="I2" s="13">
        <v>163.5</v>
      </c>
      <c r="J2" s="14" t="str">
        <f t="shared" ref="J2:J19" si="1">IF(D2-E2&lt;0, B2&amp;" "&amp;TEXT(E2, "+0.0;-0.0;0.0"), C2&amp;" "&amp;TEXT(G2, "+0.0;-0.0;0.0"))</f>
        <v>Miami (OH) -11.5</v>
      </c>
      <c r="K2" s="15">
        <f t="shared" ref="K2:K19" si="2">ABS(D2-E2)</f>
        <v>3.5</v>
      </c>
      <c r="L2" s="15" t="str">
        <f t="shared" ref="L2:L19" si="3">IF(H2&gt;I2, "OVER "&amp;I2, "UNDER "&amp;I2)</f>
        <v>OVER 163.5</v>
      </c>
      <c r="M2" s="15">
        <f t="shared" ref="M2:M19" si="4">ABS(H2-I2)</f>
        <v>0.5</v>
      </c>
    </row>
    <row r="3">
      <c r="A3" s="16">
        <v>0.75</v>
      </c>
      <c r="B3" s="17" t="s">
        <v>291</v>
      </c>
      <c r="C3" s="17" t="s">
        <v>292</v>
      </c>
      <c r="D3" s="18">
        <v>-4.5</v>
      </c>
      <c r="E3" s="18">
        <v>-3.5</v>
      </c>
      <c r="F3" s="18">
        <v>4.5</v>
      </c>
      <c r="G3" s="18">
        <v>3.5</v>
      </c>
      <c r="H3" s="18">
        <v>163.5</v>
      </c>
      <c r="I3" s="18">
        <v>164.5</v>
      </c>
      <c r="J3" s="19" t="str">
        <f t="shared" si="1"/>
        <v>Yale -3.5</v>
      </c>
      <c r="K3" s="20">
        <f t="shared" si="2"/>
        <v>1</v>
      </c>
      <c r="L3" s="15" t="str">
        <f t="shared" si="3"/>
        <v>UNDER 164.5</v>
      </c>
      <c r="M3" s="20">
        <f t="shared" si="4"/>
        <v>1</v>
      </c>
    </row>
    <row r="4">
      <c r="A4" s="16">
        <v>0.7708333333333334</v>
      </c>
      <c r="B4" s="17" t="s">
        <v>83</v>
      </c>
      <c r="C4" s="17" t="s">
        <v>69</v>
      </c>
      <c r="D4" s="18">
        <v>-4.5</v>
      </c>
      <c r="E4" s="18">
        <v>-8.5</v>
      </c>
      <c r="F4" s="18">
        <v>4.5</v>
      </c>
      <c r="G4" s="18">
        <v>8.5</v>
      </c>
      <c r="H4" s="18">
        <v>133.0</v>
      </c>
      <c r="I4" s="18">
        <v>136.5</v>
      </c>
      <c r="J4" s="19" t="str">
        <f t="shared" si="1"/>
        <v>Niagara +8.5</v>
      </c>
      <c r="K4" s="20">
        <f t="shared" si="2"/>
        <v>4</v>
      </c>
      <c r="L4" s="15" t="str">
        <f t="shared" si="3"/>
        <v>UNDER 136.5</v>
      </c>
      <c r="M4" s="20">
        <f t="shared" si="4"/>
        <v>3.5</v>
      </c>
    </row>
    <row r="5">
      <c r="A5" s="16">
        <v>0.7916666666666666</v>
      </c>
      <c r="B5" s="17" t="s">
        <v>115</v>
      </c>
      <c r="C5" s="17" t="s">
        <v>112</v>
      </c>
      <c r="D5" s="18">
        <v>2.5</v>
      </c>
      <c r="E5" s="18">
        <v>2.5</v>
      </c>
      <c r="F5" s="18">
        <v>-2.5</v>
      </c>
      <c r="G5" s="18">
        <v>-2.5</v>
      </c>
      <c r="H5" s="18">
        <v>155.0</v>
      </c>
      <c r="I5" s="18">
        <v>153.5</v>
      </c>
      <c r="J5" s="19" t="str">
        <f t="shared" si="1"/>
        <v>George Washington -2.5</v>
      </c>
      <c r="K5" s="20">
        <f t="shared" si="2"/>
        <v>0</v>
      </c>
      <c r="L5" s="15" t="str">
        <f t="shared" si="3"/>
        <v>OVER 153.5</v>
      </c>
      <c r="M5" s="20">
        <f t="shared" si="4"/>
        <v>1.5</v>
      </c>
    </row>
    <row r="6">
      <c r="A6" s="16">
        <v>0.7916666666666666</v>
      </c>
      <c r="B6" s="17" t="s">
        <v>293</v>
      </c>
      <c r="C6" s="17" t="s">
        <v>294</v>
      </c>
      <c r="D6" s="18">
        <v>9.0</v>
      </c>
      <c r="E6" s="18">
        <v>5.5</v>
      </c>
      <c r="F6" s="18">
        <v>-9.0</v>
      </c>
      <c r="G6" s="18">
        <v>-5.5</v>
      </c>
      <c r="H6" s="18">
        <v>138.5</v>
      </c>
      <c r="I6" s="18">
        <v>139.5</v>
      </c>
      <c r="J6" s="19" t="str">
        <f t="shared" si="1"/>
        <v>Columbia -5.5</v>
      </c>
      <c r="K6" s="20">
        <f t="shared" si="2"/>
        <v>3.5</v>
      </c>
      <c r="L6" s="15" t="str">
        <f t="shared" si="3"/>
        <v>UNDER 139.5</v>
      </c>
      <c r="M6" s="20">
        <f t="shared" si="4"/>
        <v>1</v>
      </c>
    </row>
    <row r="7">
      <c r="A7" s="16">
        <v>0.7916666666666666</v>
      </c>
      <c r="B7" s="17" t="s">
        <v>79</v>
      </c>
      <c r="C7" s="17" t="s">
        <v>82</v>
      </c>
      <c r="D7" s="18">
        <v>-1.0</v>
      </c>
      <c r="E7" s="18">
        <v>-1.5</v>
      </c>
      <c r="F7" s="18">
        <v>1.0</v>
      </c>
      <c r="G7" s="18">
        <v>1.5</v>
      </c>
      <c r="H7" s="18">
        <v>140.0</v>
      </c>
      <c r="I7" s="18">
        <v>142.5</v>
      </c>
      <c r="J7" s="19" t="str">
        <f t="shared" si="1"/>
        <v>Fairfield +1.5</v>
      </c>
      <c r="K7" s="20">
        <f t="shared" si="2"/>
        <v>0.5</v>
      </c>
      <c r="L7" s="15" t="str">
        <f t="shared" si="3"/>
        <v>UNDER 142.5</v>
      </c>
      <c r="M7" s="20">
        <f t="shared" si="4"/>
        <v>2.5</v>
      </c>
    </row>
    <row r="8">
      <c r="A8" s="16">
        <v>0.7916666666666666</v>
      </c>
      <c r="B8" s="17" t="s">
        <v>295</v>
      </c>
      <c r="C8" s="17" t="s">
        <v>296</v>
      </c>
      <c r="D8" s="18">
        <v>5.0</v>
      </c>
      <c r="E8" s="18">
        <v>7.5</v>
      </c>
      <c r="F8" s="18">
        <v>-5.0</v>
      </c>
      <c r="G8" s="18">
        <v>-7.5</v>
      </c>
      <c r="H8" s="18">
        <v>149.5</v>
      </c>
      <c r="I8" s="18">
        <v>154.5</v>
      </c>
      <c r="J8" s="19" t="str">
        <f t="shared" si="1"/>
        <v>Dartmouth +7.5</v>
      </c>
      <c r="K8" s="20">
        <f t="shared" si="2"/>
        <v>2.5</v>
      </c>
      <c r="L8" s="15" t="str">
        <f t="shared" si="3"/>
        <v>UNDER 154.5</v>
      </c>
      <c r="M8" s="20">
        <f t="shared" si="4"/>
        <v>5</v>
      </c>
    </row>
    <row r="9">
      <c r="A9" s="16">
        <v>0.7916666666666666</v>
      </c>
      <c r="B9" s="17" t="s">
        <v>297</v>
      </c>
      <c r="C9" s="17" t="s">
        <v>88</v>
      </c>
      <c r="D9" s="18">
        <v>6.0</v>
      </c>
      <c r="E9" s="18">
        <v>2.5</v>
      </c>
      <c r="F9" s="18">
        <v>-6.0</v>
      </c>
      <c r="G9" s="18">
        <v>-2.5</v>
      </c>
      <c r="H9" s="18">
        <v>147.0</v>
      </c>
      <c r="I9" s="18">
        <v>149.5</v>
      </c>
      <c r="J9" s="19" t="str">
        <f t="shared" si="1"/>
        <v>Sacred Heart -2.5</v>
      </c>
      <c r="K9" s="20">
        <f t="shared" si="2"/>
        <v>3.5</v>
      </c>
      <c r="L9" s="15" t="str">
        <f t="shared" si="3"/>
        <v>UNDER 149.5</v>
      </c>
      <c r="M9" s="20">
        <f t="shared" si="4"/>
        <v>2.5</v>
      </c>
    </row>
    <row r="10">
      <c r="A10" s="16">
        <v>0.7916666666666666</v>
      </c>
      <c r="B10" s="17" t="s">
        <v>207</v>
      </c>
      <c r="C10" s="17" t="s">
        <v>140</v>
      </c>
      <c r="D10" s="18">
        <v>14.0</v>
      </c>
      <c r="E10" s="18">
        <v>19.5</v>
      </c>
      <c r="F10" s="18">
        <v>-14.0</v>
      </c>
      <c r="G10" s="18">
        <v>-19.5</v>
      </c>
      <c r="H10" s="18">
        <v>155.5</v>
      </c>
      <c r="I10" s="18">
        <v>153.5</v>
      </c>
      <c r="J10" s="19" t="str">
        <f t="shared" si="1"/>
        <v>UL Monroe +19.5</v>
      </c>
      <c r="K10" s="20">
        <f t="shared" si="2"/>
        <v>5.5</v>
      </c>
      <c r="L10" s="15" t="str">
        <f t="shared" si="3"/>
        <v>OVER 153.5</v>
      </c>
      <c r="M10" s="20">
        <f t="shared" si="4"/>
        <v>2</v>
      </c>
    </row>
    <row r="11">
      <c r="A11" s="16">
        <v>0.7916666666666666</v>
      </c>
      <c r="B11" s="17" t="s">
        <v>59</v>
      </c>
      <c r="C11" s="17" t="s">
        <v>90</v>
      </c>
      <c r="D11" s="18">
        <v>-6.0</v>
      </c>
      <c r="E11" s="18">
        <v>-10.5</v>
      </c>
      <c r="F11" s="18">
        <v>6.0</v>
      </c>
      <c r="G11" s="18">
        <v>10.5</v>
      </c>
      <c r="H11" s="18">
        <v>137.0</v>
      </c>
      <c r="I11" s="18">
        <v>130.5</v>
      </c>
      <c r="J11" s="19" t="str">
        <f t="shared" si="1"/>
        <v>Canisius +10.5</v>
      </c>
      <c r="K11" s="20">
        <f t="shared" si="2"/>
        <v>4.5</v>
      </c>
      <c r="L11" s="15" t="str">
        <f t="shared" si="3"/>
        <v>OVER 130.5</v>
      </c>
      <c r="M11" s="20">
        <f t="shared" si="4"/>
        <v>6.5</v>
      </c>
    </row>
    <row r="12">
      <c r="A12" s="16">
        <v>0.8125</v>
      </c>
      <c r="B12" s="17" t="s">
        <v>129</v>
      </c>
      <c r="C12" s="17" t="s">
        <v>146</v>
      </c>
      <c r="D12" s="18">
        <v>-1.0</v>
      </c>
      <c r="E12" s="18">
        <v>-1.5</v>
      </c>
      <c r="F12" s="18">
        <v>1.0</v>
      </c>
      <c r="G12" s="18">
        <v>1.5</v>
      </c>
      <c r="H12" s="18">
        <v>142.5</v>
      </c>
      <c r="I12" s="18">
        <v>149.5</v>
      </c>
      <c r="J12" s="19" t="str">
        <f t="shared" si="1"/>
        <v>Georgia State +1.5</v>
      </c>
      <c r="K12" s="20">
        <f t="shared" si="2"/>
        <v>0.5</v>
      </c>
      <c r="L12" s="15" t="str">
        <f t="shared" si="3"/>
        <v>UNDER 149.5</v>
      </c>
      <c r="M12" s="20">
        <f t="shared" si="4"/>
        <v>7</v>
      </c>
    </row>
    <row r="13">
      <c r="A13" s="16">
        <v>0.8333333333333334</v>
      </c>
      <c r="B13" s="17" t="s">
        <v>155</v>
      </c>
      <c r="C13" s="17" t="s">
        <v>19</v>
      </c>
      <c r="D13" s="18">
        <v>2.0</v>
      </c>
      <c r="E13" s="18">
        <v>-1.5</v>
      </c>
      <c r="F13" s="18">
        <v>-2.0</v>
      </c>
      <c r="G13" s="18">
        <v>1.5</v>
      </c>
      <c r="H13" s="18">
        <v>153.5</v>
      </c>
      <c r="I13" s="18">
        <v>158.5</v>
      </c>
      <c r="J13" s="19" t="str">
        <f t="shared" si="1"/>
        <v>Illinois +1.5</v>
      </c>
      <c r="K13" s="20">
        <f t="shared" si="2"/>
        <v>3.5</v>
      </c>
      <c r="L13" s="15" t="str">
        <f t="shared" si="3"/>
        <v>UNDER 158.5</v>
      </c>
      <c r="M13" s="20">
        <f t="shared" si="4"/>
        <v>5</v>
      </c>
    </row>
    <row r="14">
      <c r="A14" s="16">
        <v>0.8333333333333334</v>
      </c>
      <c r="B14" s="17" t="s">
        <v>132</v>
      </c>
      <c r="C14" s="17" t="s">
        <v>136</v>
      </c>
      <c r="D14" s="18">
        <v>-1.0</v>
      </c>
      <c r="E14" s="18">
        <v>-3.5</v>
      </c>
      <c r="F14" s="18">
        <v>1.0</v>
      </c>
      <c r="G14" s="18">
        <v>3.5</v>
      </c>
      <c r="H14" s="18">
        <v>163.0</v>
      </c>
      <c r="I14" s="18">
        <v>166.5</v>
      </c>
      <c r="J14" s="19" t="str">
        <f t="shared" si="1"/>
        <v>Kent State +3.5</v>
      </c>
      <c r="K14" s="20">
        <f t="shared" si="2"/>
        <v>2.5</v>
      </c>
      <c r="L14" s="15" t="str">
        <f t="shared" si="3"/>
        <v>UNDER 166.5</v>
      </c>
      <c r="M14" s="20">
        <f t="shared" si="4"/>
        <v>3.5</v>
      </c>
    </row>
    <row r="15">
      <c r="A15" s="16">
        <v>0.8333333333333334</v>
      </c>
      <c r="B15" s="17" t="s">
        <v>145</v>
      </c>
      <c r="C15" s="17" t="s">
        <v>205</v>
      </c>
      <c r="D15" s="18">
        <v>4.5</v>
      </c>
      <c r="E15" s="18">
        <v>5.5</v>
      </c>
      <c r="F15" s="18">
        <v>-4.5</v>
      </c>
      <c r="G15" s="18">
        <v>-5.5</v>
      </c>
      <c r="H15" s="18">
        <v>138.0</v>
      </c>
      <c r="I15" s="18">
        <v>140.5</v>
      </c>
      <c r="J15" s="19" t="str">
        <f t="shared" si="1"/>
        <v>Coastal Carolina +5.5</v>
      </c>
      <c r="K15" s="20">
        <f t="shared" si="2"/>
        <v>1</v>
      </c>
      <c r="L15" s="15" t="str">
        <f t="shared" si="3"/>
        <v>UNDER 140.5</v>
      </c>
      <c r="M15" s="20">
        <f t="shared" si="4"/>
        <v>2.5</v>
      </c>
    </row>
    <row r="16">
      <c r="A16" s="16">
        <v>0.8333333333333334</v>
      </c>
      <c r="B16" s="17" t="s">
        <v>298</v>
      </c>
      <c r="C16" s="17" t="s">
        <v>299</v>
      </c>
      <c r="D16" s="18">
        <v>-0.5</v>
      </c>
      <c r="E16" s="18">
        <v>-1.5</v>
      </c>
      <c r="F16" s="18">
        <v>0.5</v>
      </c>
      <c r="G16" s="18">
        <v>1.5</v>
      </c>
      <c r="H16" s="18">
        <v>138.0</v>
      </c>
      <c r="I16" s="18">
        <v>135.5</v>
      </c>
      <c r="J16" s="19" t="str">
        <f t="shared" si="1"/>
        <v>Texas State +1.5</v>
      </c>
      <c r="K16" s="20">
        <f t="shared" si="2"/>
        <v>1</v>
      </c>
      <c r="L16" s="15" t="str">
        <f t="shared" si="3"/>
        <v>OVER 135.5</v>
      </c>
      <c r="M16" s="20">
        <f t="shared" si="4"/>
        <v>2.5</v>
      </c>
    </row>
    <row r="17">
      <c r="A17" s="16">
        <v>0.8541666666666666</v>
      </c>
      <c r="B17" s="17" t="s">
        <v>152</v>
      </c>
      <c r="C17" s="17" t="s">
        <v>208</v>
      </c>
      <c r="D17" s="18">
        <v>9.5</v>
      </c>
      <c r="E17" s="18">
        <v>4.5</v>
      </c>
      <c r="F17" s="18">
        <v>-9.5</v>
      </c>
      <c r="G17" s="18">
        <v>-4.5</v>
      </c>
      <c r="H17" s="18">
        <v>141.0</v>
      </c>
      <c r="I17" s="18">
        <v>142.5</v>
      </c>
      <c r="J17" s="19" t="str">
        <f t="shared" si="1"/>
        <v>South Alabama -4.5</v>
      </c>
      <c r="K17" s="20">
        <f t="shared" si="2"/>
        <v>5</v>
      </c>
      <c r="L17" s="15" t="str">
        <f t="shared" si="3"/>
        <v>UNDER 142.5</v>
      </c>
      <c r="M17" s="20">
        <f t="shared" si="4"/>
        <v>1.5</v>
      </c>
    </row>
    <row r="18">
      <c r="A18" s="16">
        <v>0.8541666666666666</v>
      </c>
      <c r="B18" s="17" t="s">
        <v>300</v>
      </c>
      <c r="C18" s="17" t="s">
        <v>153</v>
      </c>
      <c r="D18" s="18">
        <v>10.0</v>
      </c>
      <c r="E18" s="18">
        <v>14.5</v>
      </c>
      <c r="F18" s="18">
        <v>-10.0</v>
      </c>
      <c r="G18" s="18">
        <v>-14.5</v>
      </c>
      <c r="H18" s="18">
        <v>145.0</v>
      </c>
      <c r="I18" s="18">
        <v>146.5</v>
      </c>
      <c r="J18" s="19" t="str">
        <f t="shared" si="1"/>
        <v>Louisiana +14.5</v>
      </c>
      <c r="K18" s="20">
        <f t="shared" si="2"/>
        <v>4.5</v>
      </c>
      <c r="L18" s="15" t="str">
        <f t="shared" si="3"/>
        <v>UNDER 146.5</v>
      </c>
      <c r="M18" s="20">
        <f t="shared" si="4"/>
        <v>1.5</v>
      </c>
    </row>
    <row r="19">
      <c r="A19" s="16">
        <v>0.875</v>
      </c>
      <c r="B19" s="17" t="s">
        <v>204</v>
      </c>
      <c r="C19" s="17" t="s">
        <v>130</v>
      </c>
      <c r="D19" s="18">
        <v>6.0</v>
      </c>
      <c r="E19" s="18">
        <v>6.5</v>
      </c>
      <c r="F19" s="18">
        <v>-6.0</v>
      </c>
      <c r="G19" s="18">
        <v>-6.5</v>
      </c>
      <c r="H19" s="18">
        <v>159.0</v>
      </c>
      <c r="I19" s="18">
        <v>169.5</v>
      </c>
      <c r="J19" s="19" t="str">
        <f t="shared" si="1"/>
        <v>Georgia Southern +6.5</v>
      </c>
      <c r="K19" s="20">
        <f t="shared" si="2"/>
        <v>0.5</v>
      </c>
      <c r="L19" s="15" t="str">
        <f t="shared" si="3"/>
        <v>UNDER 169.5</v>
      </c>
      <c r="M19" s="20">
        <f t="shared" si="4"/>
        <v>10.5</v>
      </c>
    </row>
  </sheetData>
  <conditionalFormatting sqref="K1:K19">
    <cfRule type="colorScale" priority="1">
      <colorScale>
        <cfvo type="min"/>
        <cfvo type="max"/>
        <color rgb="FFEFEFEF"/>
        <color rgb="FF00FF00"/>
      </colorScale>
    </cfRule>
  </conditionalFormatting>
  <conditionalFormatting sqref="M2:M19">
    <cfRule type="colorScale" priority="2">
      <colorScale>
        <cfvo type="min"/>
        <cfvo type="percentile" val="50"/>
        <cfvo type="max"/>
        <color rgb="FFFFFFFF"/>
        <color rgb="FFD9EAD3"/>
        <color rgb="FF00FF00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0.5"/>
    <col customWidth="1" min="3" max="3" width="21.25"/>
    <col customWidth="1" min="4" max="4" width="24.0"/>
    <col customWidth="1" min="5" max="12" width="27.88"/>
  </cols>
  <sheetData>
    <row r="1">
      <c r="A1" s="10" t="s">
        <v>2</v>
      </c>
      <c r="B1" s="10" t="s">
        <v>281</v>
      </c>
      <c r="C1" s="10" t="s">
        <v>282</v>
      </c>
      <c r="D1" s="10" t="s">
        <v>4</v>
      </c>
      <c r="E1" s="10" t="s">
        <v>283</v>
      </c>
      <c r="F1" s="10" t="s">
        <v>284</v>
      </c>
      <c r="G1" s="10" t="s">
        <v>6</v>
      </c>
      <c r="H1" s="10" t="s">
        <v>285</v>
      </c>
      <c r="I1" s="10" t="s">
        <v>286</v>
      </c>
      <c r="J1" s="10" t="s">
        <v>287</v>
      </c>
      <c r="K1" s="10" t="s">
        <v>288</v>
      </c>
      <c r="L1" s="10" t="s">
        <v>289</v>
      </c>
    </row>
    <row r="2">
      <c r="A2" s="17" t="s">
        <v>301</v>
      </c>
      <c r="B2" s="18">
        <v>-4.5</v>
      </c>
      <c r="C2" s="18">
        <v>-6.5</v>
      </c>
      <c r="D2" s="17" t="s">
        <v>302</v>
      </c>
      <c r="E2" s="18">
        <v>4.5</v>
      </c>
      <c r="F2" s="18">
        <v>6.5</v>
      </c>
      <c r="G2" s="18">
        <v>156.5</v>
      </c>
      <c r="H2" s="18">
        <v>153.5</v>
      </c>
      <c r="I2" s="21" t="str">
        <f t="shared" ref="I2:I100" si="1">IF(J2=0,"PASS",IF(IF(F2="pk",0,F2)&gt;IF(E2="pk",0,E2),D2&amp;" ("&amp;IF(F2="pk","pk",IF(F2=INT(F2),TEXT(F2,"+0;-0"),TEXT(F2,"+0.0;-0.0")))&amp;")",A2&amp;" ("&amp;IF(C2="pk","pk",IF(C2=INT(C2),TEXT(C2,"+0;-0"),TEXT(C2,"+0.0;-0.0")))&amp;")"))</f>
        <v>NOTRE DAME (+6.5)</v>
      </c>
      <c r="J2" s="20">
        <f t="shared" ref="J2:J79" si="2">ABS(IF(F2="pk", 0, F2) - IF(E2="pk", 0, E2))</f>
        <v>2</v>
      </c>
      <c r="K2" s="22" t="str">
        <f t="shared" ref="K2:K100" si="3">IF(L2=0,"PASS",IF(G2&gt;H2,"OVER "&amp;H2,IF(G2&lt;H2,"UNDER "&amp;H2,"0")))</f>
        <v>OVER 153.5</v>
      </c>
      <c r="L2" s="20">
        <f t="shared" ref="L2:L100" si="4">ABS(G2-H2)</f>
        <v>3</v>
      </c>
    </row>
    <row r="3">
      <c r="A3" s="12" t="s">
        <v>303</v>
      </c>
      <c r="B3" s="8">
        <v>11.5</v>
      </c>
      <c r="C3" s="13">
        <v>10.5</v>
      </c>
      <c r="D3" s="12" t="s">
        <v>304</v>
      </c>
      <c r="E3" s="13">
        <v>-11.5</v>
      </c>
      <c r="F3" s="13">
        <v>-10.5</v>
      </c>
      <c r="G3" s="13">
        <v>138.5</v>
      </c>
      <c r="H3" s="13">
        <v>141.5</v>
      </c>
      <c r="I3" s="21" t="str">
        <f t="shared" si="1"/>
        <v>DUKE (-10.5)</v>
      </c>
      <c r="J3" s="15">
        <f t="shared" si="2"/>
        <v>1</v>
      </c>
      <c r="K3" s="22" t="str">
        <f t="shared" si="3"/>
        <v>UNDER 141.5</v>
      </c>
      <c r="L3" s="15">
        <f t="shared" si="4"/>
        <v>3</v>
      </c>
    </row>
    <row r="4">
      <c r="A4" s="17" t="s">
        <v>305</v>
      </c>
      <c r="B4" s="18">
        <v>4.0</v>
      </c>
      <c r="C4" s="18">
        <v>3.0</v>
      </c>
      <c r="D4" s="17" t="s">
        <v>306</v>
      </c>
      <c r="E4" s="18">
        <v>-4.0</v>
      </c>
      <c r="F4" s="18">
        <v>-3.0</v>
      </c>
      <c r="G4" s="18">
        <v>140.5</v>
      </c>
      <c r="H4" s="18">
        <v>143.5</v>
      </c>
      <c r="I4" s="21" t="str">
        <f t="shared" si="1"/>
        <v>UT MARTIN (-3)</v>
      </c>
      <c r="J4" s="20">
        <f t="shared" si="2"/>
        <v>1</v>
      </c>
      <c r="K4" s="22" t="str">
        <f t="shared" si="3"/>
        <v>UNDER 143.5</v>
      </c>
      <c r="L4" s="20">
        <f t="shared" si="4"/>
        <v>3</v>
      </c>
    </row>
    <row r="5">
      <c r="A5" s="17" t="s">
        <v>307</v>
      </c>
      <c r="B5" s="18">
        <v>-6.5</v>
      </c>
      <c r="C5" s="18">
        <v>-9.5</v>
      </c>
      <c r="D5" s="17" t="s">
        <v>308</v>
      </c>
      <c r="E5" s="18">
        <v>6.5</v>
      </c>
      <c r="F5" s="18">
        <v>9.5</v>
      </c>
      <c r="G5" s="18">
        <v>149.5</v>
      </c>
      <c r="H5" s="18">
        <v>145.5</v>
      </c>
      <c r="I5" s="21" t="str">
        <f t="shared" si="1"/>
        <v>PENN STATE (+9.5)</v>
      </c>
      <c r="J5" s="20">
        <f t="shared" si="2"/>
        <v>3</v>
      </c>
      <c r="K5" s="22" t="str">
        <f t="shared" si="3"/>
        <v>OVER 145.5</v>
      </c>
      <c r="L5" s="20">
        <f t="shared" si="4"/>
        <v>4</v>
      </c>
    </row>
    <row r="6">
      <c r="A6" s="17" t="s">
        <v>309</v>
      </c>
      <c r="B6" s="18">
        <v>17.5</v>
      </c>
      <c r="C6" s="18">
        <v>14.0</v>
      </c>
      <c r="D6" s="17" t="s">
        <v>310</v>
      </c>
      <c r="E6" s="18">
        <v>-17.5</v>
      </c>
      <c r="F6" s="18">
        <v>-14.0</v>
      </c>
      <c r="G6" s="18">
        <v>128.5</v>
      </c>
      <c r="H6" s="18">
        <v>130.5</v>
      </c>
      <c r="I6" s="21" t="str">
        <f t="shared" si="1"/>
        <v>CONNECTICUT (-14)</v>
      </c>
      <c r="J6" s="20">
        <f t="shared" si="2"/>
        <v>3.5</v>
      </c>
      <c r="K6" s="22" t="str">
        <f t="shared" si="3"/>
        <v>UNDER 130.5</v>
      </c>
      <c r="L6" s="20">
        <f t="shared" si="4"/>
        <v>2</v>
      </c>
    </row>
    <row r="7">
      <c r="A7" s="17" t="s">
        <v>311</v>
      </c>
      <c r="B7" s="18">
        <v>-3.0</v>
      </c>
      <c r="C7" s="18">
        <v>-5.5</v>
      </c>
      <c r="D7" s="17" t="s">
        <v>312</v>
      </c>
      <c r="E7" s="18">
        <v>3.0</v>
      </c>
      <c r="F7" s="18">
        <v>5.5</v>
      </c>
      <c r="G7" s="18">
        <v>160.5</v>
      </c>
      <c r="H7" s="18">
        <v>160.5</v>
      </c>
      <c r="I7" s="21" t="str">
        <f t="shared" si="1"/>
        <v>GEORGIA TECH (+5.5)</v>
      </c>
      <c r="J7" s="20">
        <f t="shared" si="2"/>
        <v>2.5</v>
      </c>
      <c r="K7" s="22" t="str">
        <f t="shared" si="3"/>
        <v>PASS</v>
      </c>
      <c r="L7" s="20">
        <f t="shared" si="4"/>
        <v>0</v>
      </c>
    </row>
    <row r="8">
      <c r="A8" s="17" t="s">
        <v>313</v>
      </c>
      <c r="B8" s="18">
        <v>5.0</v>
      </c>
      <c r="C8" s="18">
        <v>3.5</v>
      </c>
      <c r="D8" s="17" t="s">
        <v>314</v>
      </c>
      <c r="E8" s="18">
        <v>-5.0</v>
      </c>
      <c r="F8" s="18">
        <v>-3.5</v>
      </c>
      <c r="G8" s="18">
        <v>140.5</v>
      </c>
      <c r="H8" s="18">
        <v>141.0</v>
      </c>
      <c r="I8" s="21" t="str">
        <f t="shared" si="1"/>
        <v>RHODE ISLAND (-3.5)</v>
      </c>
      <c r="J8" s="20">
        <f t="shared" si="2"/>
        <v>1.5</v>
      </c>
      <c r="K8" s="22" t="str">
        <f t="shared" si="3"/>
        <v>UNDER 141</v>
      </c>
      <c r="L8" s="20">
        <f t="shared" si="4"/>
        <v>0.5</v>
      </c>
    </row>
    <row r="9">
      <c r="A9" s="17" t="s">
        <v>315</v>
      </c>
      <c r="B9" s="18">
        <v>15.5</v>
      </c>
      <c r="C9" s="18">
        <v>19.0</v>
      </c>
      <c r="D9" s="17" t="s">
        <v>316</v>
      </c>
      <c r="E9" s="18">
        <v>-15.5</v>
      </c>
      <c r="F9" s="18">
        <v>-19.0</v>
      </c>
      <c r="G9" s="18">
        <v>144.5</v>
      </c>
      <c r="H9" s="18">
        <v>140.0</v>
      </c>
      <c r="I9" s="21" t="str">
        <f t="shared" si="1"/>
        <v>COLORADO (+19)</v>
      </c>
      <c r="J9" s="20">
        <f t="shared" si="2"/>
        <v>3.5</v>
      </c>
      <c r="K9" s="22" t="str">
        <f t="shared" si="3"/>
        <v>OVER 140</v>
      </c>
      <c r="L9" s="20">
        <f t="shared" si="4"/>
        <v>4.5</v>
      </c>
    </row>
    <row r="10">
      <c r="A10" s="17" t="s">
        <v>317</v>
      </c>
      <c r="B10" s="18">
        <v>14.0</v>
      </c>
      <c r="C10" s="18">
        <v>12.5</v>
      </c>
      <c r="D10" s="17" t="s">
        <v>318</v>
      </c>
      <c r="E10" s="18">
        <v>-14.0</v>
      </c>
      <c r="F10" s="18">
        <v>-12.5</v>
      </c>
      <c r="G10" s="18">
        <v>144.0</v>
      </c>
      <c r="H10" s="18">
        <v>145.0</v>
      </c>
      <c r="I10" s="21" t="str">
        <f t="shared" si="1"/>
        <v>VCU (-12.5)</v>
      </c>
      <c r="J10" s="20">
        <f t="shared" si="2"/>
        <v>1.5</v>
      </c>
      <c r="K10" s="22" t="str">
        <f t="shared" si="3"/>
        <v>UNDER 145</v>
      </c>
      <c r="L10" s="20">
        <f t="shared" si="4"/>
        <v>1</v>
      </c>
    </row>
    <row r="11">
      <c r="A11" s="17" t="s">
        <v>319</v>
      </c>
      <c r="B11" s="18">
        <v>-2.0</v>
      </c>
      <c r="C11" s="18">
        <v>-1.5</v>
      </c>
      <c r="D11" s="17" t="s">
        <v>320</v>
      </c>
      <c r="E11" s="18">
        <v>2.0</v>
      </c>
      <c r="F11" s="18">
        <v>1.5</v>
      </c>
      <c r="G11" s="18">
        <v>154.5</v>
      </c>
      <c r="H11" s="18">
        <v>155.0</v>
      </c>
      <c r="I11" s="21" t="str">
        <f t="shared" si="1"/>
        <v>MISSOURI (-1.5)</v>
      </c>
      <c r="J11" s="20">
        <f t="shared" si="2"/>
        <v>0.5</v>
      </c>
      <c r="K11" s="22" t="str">
        <f t="shared" si="3"/>
        <v>UNDER 155</v>
      </c>
      <c r="L11" s="20">
        <f t="shared" si="4"/>
        <v>0.5</v>
      </c>
    </row>
    <row r="12">
      <c r="A12" s="17" t="s">
        <v>321</v>
      </c>
      <c r="B12" s="18">
        <v>2.0</v>
      </c>
      <c r="C12" s="18">
        <v>5.0</v>
      </c>
      <c r="D12" s="17" t="s">
        <v>322</v>
      </c>
      <c r="E12" s="18">
        <v>-2.0</v>
      </c>
      <c r="F12" s="18">
        <v>-5.0</v>
      </c>
      <c r="G12" s="18">
        <v>149.5</v>
      </c>
      <c r="H12" s="18">
        <v>147.0</v>
      </c>
      <c r="I12" s="21" t="str">
        <f t="shared" si="1"/>
        <v>NEW MEXICO STATE (+5)</v>
      </c>
      <c r="J12" s="20">
        <f t="shared" si="2"/>
        <v>3</v>
      </c>
      <c r="K12" s="22" t="str">
        <f t="shared" si="3"/>
        <v>OVER 147</v>
      </c>
      <c r="L12" s="20">
        <f t="shared" si="4"/>
        <v>2.5</v>
      </c>
    </row>
    <row r="13">
      <c r="A13" s="17" t="s">
        <v>323</v>
      </c>
      <c r="B13" s="18">
        <v>10.5</v>
      </c>
      <c r="C13" s="18">
        <v>13.0</v>
      </c>
      <c r="D13" s="17" t="s">
        <v>324</v>
      </c>
      <c r="E13" s="18">
        <v>-10.5</v>
      </c>
      <c r="F13" s="18">
        <v>-13.0</v>
      </c>
      <c r="G13" s="18">
        <v>159.5</v>
      </c>
      <c r="H13" s="18">
        <v>157.5</v>
      </c>
      <c r="I13" s="21" t="str">
        <f t="shared" si="1"/>
        <v>CLEVELAND STATE (+13)</v>
      </c>
      <c r="J13" s="20">
        <f t="shared" si="2"/>
        <v>2.5</v>
      </c>
      <c r="K13" s="22" t="str">
        <f t="shared" si="3"/>
        <v>OVER 157.5</v>
      </c>
      <c r="L13" s="20">
        <f t="shared" si="4"/>
        <v>2</v>
      </c>
    </row>
    <row r="14">
      <c r="A14" s="17" t="s">
        <v>325</v>
      </c>
      <c r="B14" s="18" t="s">
        <v>64</v>
      </c>
      <c r="C14" s="18">
        <v>4.5</v>
      </c>
      <c r="D14" s="17" t="s">
        <v>326</v>
      </c>
      <c r="E14" s="18" t="s">
        <v>64</v>
      </c>
      <c r="F14" s="18">
        <v>-4.5</v>
      </c>
      <c r="G14" s="18">
        <v>155.5</v>
      </c>
      <c r="H14" s="18">
        <v>154.5</v>
      </c>
      <c r="I14" s="21" t="str">
        <f t="shared" si="1"/>
        <v>GEORGETOWN (+4.5)</v>
      </c>
      <c r="J14" s="20">
        <f t="shared" si="2"/>
        <v>4.5</v>
      </c>
      <c r="K14" s="22" t="str">
        <f t="shared" si="3"/>
        <v>OVER 154.5</v>
      </c>
      <c r="L14" s="20">
        <f t="shared" si="4"/>
        <v>1</v>
      </c>
    </row>
    <row r="15">
      <c r="A15" s="17" t="s">
        <v>327</v>
      </c>
      <c r="B15" s="18">
        <v>4.5</v>
      </c>
      <c r="C15" s="18">
        <v>5.5</v>
      </c>
      <c r="D15" s="17" t="s">
        <v>328</v>
      </c>
      <c r="E15" s="18">
        <v>-4.5</v>
      </c>
      <c r="F15" s="18">
        <v>-5.5</v>
      </c>
      <c r="G15" s="18">
        <v>155.5</v>
      </c>
      <c r="H15" s="18">
        <v>151.5</v>
      </c>
      <c r="I15" s="21" t="str">
        <f t="shared" si="1"/>
        <v>MASSACHUSETTS (+5.5)</v>
      </c>
      <c r="J15" s="20">
        <f t="shared" si="2"/>
        <v>1</v>
      </c>
      <c r="K15" s="22" t="str">
        <f t="shared" si="3"/>
        <v>OVER 151.5</v>
      </c>
      <c r="L15" s="20">
        <f t="shared" si="4"/>
        <v>4</v>
      </c>
    </row>
    <row r="16">
      <c r="A16" s="17" t="s">
        <v>20</v>
      </c>
      <c r="B16" s="18">
        <v>1.5</v>
      </c>
      <c r="C16" s="18">
        <v>-1.0</v>
      </c>
      <c r="D16" s="17" t="s">
        <v>329</v>
      </c>
      <c r="E16" s="18">
        <v>-1.5</v>
      </c>
      <c r="F16" s="18">
        <v>1.0</v>
      </c>
      <c r="G16" s="18">
        <v>137.5</v>
      </c>
      <c r="H16" s="18">
        <v>135.5</v>
      </c>
      <c r="I16" s="21" t="str">
        <f t="shared" si="1"/>
        <v>MINNESOTA (+1)</v>
      </c>
      <c r="J16" s="20">
        <f t="shared" si="2"/>
        <v>2.5</v>
      </c>
      <c r="K16" s="22" t="str">
        <f t="shared" si="3"/>
        <v>OVER 135.5</v>
      </c>
      <c r="L16" s="20">
        <f t="shared" si="4"/>
        <v>2</v>
      </c>
    </row>
    <row r="17">
      <c r="A17" s="17" t="s">
        <v>330</v>
      </c>
      <c r="B17" s="18">
        <v>4.5</v>
      </c>
      <c r="C17" s="18">
        <v>4.5</v>
      </c>
      <c r="D17" s="17" t="s">
        <v>331</v>
      </c>
      <c r="E17" s="18">
        <v>-4.5</v>
      </c>
      <c r="F17" s="18">
        <v>-4.5</v>
      </c>
      <c r="G17" s="18">
        <v>146.5</v>
      </c>
      <c r="H17" s="18">
        <v>142.0</v>
      </c>
      <c r="I17" s="21" t="str">
        <f t="shared" si="1"/>
        <v>PASS</v>
      </c>
      <c r="J17" s="20">
        <f t="shared" si="2"/>
        <v>0</v>
      </c>
      <c r="K17" s="22" t="str">
        <f t="shared" si="3"/>
        <v>OVER 142</v>
      </c>
      <c r="L17" s="20">
        <f t="shared" si="4"/>
        <v>4.5</v>
      </c>
    </row>
    <row r="18">
      <c r="A18" s="17" t="s">
        <v>332</v>
      </c>
      <c r="B18" s="18">
        <v>1.5</v>
      </c>
      <c r="C18" s="18">
        <v>-2.5</v>
      </c>
      <c r="D18" s="17" t="s">
        <v>333</v>
      </c>
      <c r="E18" s="18">
        <v>-1.5</v>
      </c>
      <c r="F18" s="18">
        <v>2.5</v>
      </c>
      <c r="G18" s="18">
        <v>155.5</v>
      </c>
      <c r="H18" s="18">
        <v>151.0</v>
      </c>
      <c r="I18" s="21" t="str">
        <f t="shared" si="1"/>
        <v>SOUTH DAKOTA (+2.5)</v>
      </c>
      <c r="J18" s="20">
        <f t="shared" si="2"/>
        <v>4</v>
      </c>
      <c r="K18" s="22" t="str">
        <f t="shared" si="3"/>
        <v>OVER 151</v>
      </c>
      <c r="L18" s="20">
        <f t="shared" si="4"/>
        <v>4.5</v>
      </c>
    </row>
    <row r="19">
      <c r="A19" s="17" t="s">
        <v>86</v>
      </c>
      <c r="B19" s="18">
        <v>-1.5</v>
      </c>
      <c r="C19" s="18">
        <v>-1.0</v>
      </c>
      <c r="D19" s="17" t="s">
        <v>334</v>
      </c>
      <c r="E19" s="18">
        <v>1.5</v>
      </c>
      <c r="F19" s="18">
        <v>1.0</v>
      </c>
      <c r="G19" s="18">
        <v>162.5</v>
      </c>
      <c r="H19" s="18">
        <v>161.5</v>
      </c>
      <c r="I19" s="21" t="str">
        <f t="shared" si="1"/>
        <v>IPFW (-1)</v>
      </c>
      <c r="J19" s="20">
        <f t="shared" si="2"/>
        <v>0.5</v>
      </c>
      <c r="K19" s="22" t="str">
        <f t="shared" si="3"/>
        <v>OVER 161.5</v>
      </c>
      <c r="L19" s="20">
        <f t="shared" si="4"/>
        <v>1</v>
      </c>
    </row>
    <row r="20">
      <c r="A20" s="17" t="s">
        <v>335</v>
      </c>
      <c r="B20" s="18">
        <v>-3.5</v>
      </c>
      <c r="C20" s="18">
        <v>-6.0</v>
      </c>
      <c r="D20" s="17" t="s">
        <v>336</v>
      </c>
      <c r="E20" s="18">
        <v>3.5</v>
      </c>
      <c r="F20" s="18">
        <v>6.0</v>
      </c>
      <c r="G20" s="18">
        <v>159.5</v>
      </c>
      <c r="H20" s="18">
        <v>163.5</v>
      </c>
      <c r="I20" s="21" t="str">
        <f t="shared" si="1"/>
        <v>NORTH CAROLINA A&amp;T (+6)</v>
      </c>
      <c r="J20" s="20">
        <f t="shared" si="2"/>
        <v>2.5</v>
      </c>
      <c r="K20" s="22" t="str">
        <f t="shared" si="3"/>
        <v>UNDER 163.5</v>
      </c>
      <c r="L20" s="20">
        <f t="shared" si="4"/>
        <v>4</v>
      </c>
    </row>
    <row r="21">
      <c r="A21" s="17" t="s">
        <v>337</v>
      </c>
      <c r="B21" s="18">
        <v>7.5</v>
      </c>
      <c r="C21" s="18">
        <v>9.5</v>
      </c>
      <c r="D21" s="17" t="s">
        <v>338</v>
      </c>
      <c r="E21" s="18">
        <v>-7.5</v>
      </c>
      <c r="F21" s="18">
        <v>-9.5</v>
      </c>
      <c r="G21" s="18">
        <v>157.5</v>
      </c>
      <c r="H21" s="18">
        <v>150.5</v>
      </c>
      <c r="I21" s="21" t="str">
        <f t="shared" si="1"/>
        <v>OKLAHOMA STATE (+9.5)</v>
      </c>
      <c r="J21" s="20">
        <f t="shared" si="2"/>
        <v>2</v>
      </c>
      <c r="K21" s="22" t="str">
        <f t="shared" si="3"/>
        <v>OVER 150.5</v>
      </c>
      <c r="L21" s="20">
        <f t="shared" si="4"/>
        <v>7</v>
      </c>
    </row>
    <row r="22">
      <c r="A22" s="17" t="s">
        <v>339</v>
      </c>
      <c r="B22" s="18">
        <v>6.5</v>
      </c>
      <c r="C22" s="18">
        <v>4.0</v>
      </c>
      <c r="D22" s="17" t="s">
        <v>340</v>
      </c>
      <c r="E22" s="18">
        <v>-6.5</v>
      </c>
      <c r="F22" s="18">
        <v>-4.0</v>
      </c>
      <c r="G22" s="18">
        <v>147.0</v>
      </c>
      <c r="H22" s="18">
        <v>143.0</v>
      </c>
      <c r="I22" s="21" t="str">
        <f t="shared" si="1"/>
        <v>NORTHWESTERN (-4)</v>
      </c>
      <c r="J22" s="20">
        <f t="shared" si="2"/>
        <v>2.5</v>
      </c>
      <c r="K22" s="22" t="str">
        <f t="shared" si="3"/>
        <v>OVER 143</v>
      </c>
      <c r="L22" s="20">
        <f t="shared" si="4"/>
        <v>4</v>
      </c>
    </row>
    <row r="23">
      <c r="A23" s="17" t="s">
        <v>341</v>
      </c>
      <c r="B23" s="18">
        <v>7.5</v>
      </c>
      <c r="C23" s="18">
        <v>5.5</v>
      </c>
      <c r="D23" s="17" t="s">
        <v>342</v>
      </c>
      <c r="E23" s="18">
        <v>-7.5</v>
      </c>
      <c r="F23" s="18">
        <v>-5.5</v>
      </c>
      <c r="G23" s="18">
        <v>155.0</v>
      </c>
      <c r="H23" s="18">
        <v>150.5</v>
      </c>
      <c r="I23" s="21" t="str">
        <f t="shared" si="1"/>
        <v>BUFFALO (-5.5)</v>
      </c>
      <c r="J23" s="20">
        <f t="shared" si="2"/>
        <v>2</v>
      </c>
      <c r="K23" s="22" t="str">
        <f t="shared" si="3"/>
        <v>OVER 150.5</v>
      </c>
      <c r="L23" s="20">
        <f t="shared" si="4"/>
        <v>4.5</v>
      </c>
    </row>
    <row r="24">
      <c r="A24" s="17" t="s">
        <v>343</v>
      </c>
      <c r="B24" s="18">
        <v>16.5</v>
      </c>
      <c r="C24" s="18">
        <v>15.5</v>
      </c>
      <c r="D24" s="17" t="s">
        <v>344</v>
      </c>
      <c r="E24" s="18">
        <v>-16.5</v>
      </c>
      <c r="F24" s="18">
        <v>-15.5</v>
      </c>
      <c r="G24" s="18">
        <v>141.5</v>
      </c>
      <c r="H24" s="18">
        <v>143.0</v>
      </c>
      <c r="I24" s="21" t="str">
        <f t="shared" si="1"/>
        <v>MIAMI FLORIDA (-15.5)</v>
      </c>
      <c r="J24" s="20">
        <f t="shared" si="2"/>
        <v>1</v>
      </c>
      <c r="K24" s="22" t="str">
        <f t="shared" si="3"/>
        <v>UNDER 143</v>
      </c>
      <c r="L24" s="20">
        <f t="shared" si="4"/>
        <v>1.5</v>
      </c>
    </row>
    <row r="25">
      <c r="A25" s="17" t="s">
        <v>345</v>
      </c>
      <c r="B25" s="18">
        <v>0.5</v>
      </c>
      <c r="C25" s="18">
        <v>-1.0</v>
      </c>
      <c r="D25" s="17" t="s">
        <v>346</v>
      </c>
      <c r="E25" s="18">
        <v>-0.5</v>
      </c>
      <c r="F25" s="18">
        <v>1.0</v>
      </c>
      <c r="G25" s="18">
        <v>161.5</v>
      </c>
      <c r="H25" s="18">
        <v>155.0</v>
      </c>
      <c r="I25" s="21" t="str">
        <f t="shared" si="1"/>
        <v>KENTUCKY (+1)</v>
      </c>
      <c r="J25" s="20">
        <f t="shared" si="2"/>
        <v>1.5</v>
      </c>
      <c r="K25" s="22" t="str">
        <f t="shared" si="3"/>
        <v>OVER 155</v>
      </c>
      <c r="L25" s="20">
        <f t="shared" si="4"/>
        <v>6.5</v>
      </c>
    </row>
    <row r="26">
      <c r="A26" s="17" t="s">
        <v>347</v>
      </c>
      <c r="B26" s="18">
        <v>6.5</v>
      </c>
      <c r="C26" s="18">
        <v>2.5</v>
      </c>
      <c r="D26" s="17" t="s">
        <v>348</v>
      </c>
      <c r="E26" s="18">
        <v>-6.5</v>
      </c>
      <c r="F26" s="18">
        <v>-2.5</v>
      </c>
      <c r="G26" s="18">
        <v>147.5</v>
      </c>
      <c r="H26" s="18">
        <v>149.0</v>
      </c>
      <c r="I26" s="21" t="str">
        <f t="shared" si="1"/>
        <v>NEW MEXICO (-2.5)</v>
      </c>
      <c r="J26" s="20">
        <f t="shared" si="2"/>
        <v>4</v>
      </c>
      <c r="K26" s="22" t="str">
        <f t="shared" si="3"/>
        <v>UNDER 149</v>
      </c>
      <c r="L26" s="20">
        <f t="shared" si="4"/>
        <v>1.5</v>
      </c>
    </row>
    <row r="27">
      <c r="A27" s="17" t="s">
        <v>349</v>
      </c>
      <c r="B27" s="18">
        <v>3.5</v>
      </c>
      <c r="C27" s="18">
        <v>1.0</v>
      </c>
      <c r="D27" s="17" t="s">
        <v>350</v>
      </c>
      <c r="E27" s="18">
        <v>-3.5</v>
      </c>
      <c r="F27" s="18">
        <v>-1.0</v>
      </c>
      <c r="G27" s="18">
        <v>146.5</v>
      </c>
      <c r="H27" s="18">
        <v>142.5</v>
      </c>
      <c r="I27" s="21" t="str">
        <f t="shared" si="1"/>
        <v>GREEN BAY (-1)</v>
      </c>
      <c r="J27" s="20">
        <f t="shared" si="2"/>
        <v>2.5</v>
      </c>
      <c r="K27" s="22" t="str">
        <f t="shared" si="3"/>
        <v>OVER 142.5</v>
      </c>
      <c r="L27" s="20">
        <f t="shared" si="4"/>
        <v>4</v>
      </c>
    </row>
    <row r="28">
      <c r="A28" s="17" t="s">
        <v>351</v>
      </c>
      <c r="B28" s="18">
        <v>3.5</v>
      </c>
      <c r="C28" s="18">
        <v>4.5</v>
      </c>
      <c r="D28" s="17" t="s">
        <v>352</v>
      </c>
      <c r="E28" s="18">
        <v>-3.5</v>
      </c>
      <c r="F28" s="18">
        <v>-4.5</v>
      </c>
      <c r="G28" s="18">
        <v>149.5</v>
      </c>
      <c r="H28" s="18">
        <v>146.0</v>
      </c>
      <c r="I28" s="21" t="str">
        <f t="shared" si="1"/>
        <v>ST. BONAVENTURE (+4.5)</v>
      </c>
      <c r="J28" s="20">
        <f t="shared" si="2"/>
        <v>1</v>
      </c>
      <c r="K28" s="22" t="str">
        <f t="shared" si="3"/>
        <v>OVER 146</v>
      </c>
      <c r="L28" s="20">
        <f t="shared" si="4"/>
        <v>3.5</v>
      </c>
    </row>
    <row r="29">
      <c r="A29" s="17" t="s">
        <v>255</v>
      </c>
      <c r="B29" s="18">
        <v>13.5</v>
      </c>
      <c r="C29" s="18">
        <v>11.5</v>
      </c>
      <c r="D29" s="17" t="s">
        <v>353</v>
      </c>
      <c r="E29" s="18">
        <v>-13.5</v>
      </c>
      <c r="F29" s="18">
        <v>-11.5</v>
      </c>
      <c r="G29" s="18">
        <v>156.5</v>
      </c>
      <c r="H29" s="18">
        <v>153.0</v>
      </c>
      <c r="I29" s="21" t="str">
        <f t="shared" si="1"/>
        <v>CHATTANOOGA (-11.5)</v>
      </c>
      <c r="J29" s="20">
        <f t="shared" si="2"/>
        <v>2</v>
      </c>
      <c r="K29" s="22" t="str">
        <f t="shared" si="3"/>
        <v>OVER 153</v>
      </c>
      <c r="L29" s="20">
        <f t="shared" si="4"/>
        <v>3.5</v>
      </c>
    </row>
    <row r="30">
      <c r="A30" s="17" t="s">
        <v>354</v>
      </c>
      <c r="B30" s="18">
        <v>14.5</v>
      </c>
      <c r="C30" s="18">
        <v>12.5</v>
      </c>
      <c r="D30" s="17" t="s">
        <v>355</v>
      </c>
      <c r="E30" s="18">
        <v>-14.5</v>
      </c>
      <c r="F30" s="18">
        <v>-12.5</v>
      </c>
      <c r="G30" s="18">
        <v>149.5</v>
      </c>
      <c r="H30" s="18">
        <v>149.0</v>
      </c>
      <c r="I30" s="21" t="str">
        <f t="shared" si="1"/>
        <v>WOFFORD (-12.5)</v>
      </c>
      <c r="J30" s="20">
        <f t="shared" si="2"/>
        <v>2</v>
      </c>
      <c r="K30" s="22" t="str">
        <f t="shared" si="3"/>
        <v>OVER 149</v>
      </c>
      <c r="L30" s="20">
        <f t="shared" si="4"/>
        <v>0.5</v>
      </c>
    </row>
    <row r="31">
      <c r="A31" s="17" t="s">
        <v>356</v>
      </c>
      <c r="B31" s="18">
        <v>-1.5</v>
      </c>
      <c r="C31" s="18">
        <v>-1.5</v>
      </c>
      <c r="D31" s="17" t="s">
        <v>357</v>
      </c>
      <c r="E31" s="18">
        <v>1.5</v>
      </c>
      <c r="F31" s="18">
        <v>1.5</v>
      </c>
      <c r="G31" s="18">
        <v>151.5</v>
      </c>
      <c r="H31" s="18">
        <v>146.5</v>
      </c>
      <c r="I31" s="21" t="str">
        <f t="shared" si="1"/>
        <v>PASS</v>
      </c>
      <c r="J31" s="20">
        <f t="shared" si="2"/>
        <v>0</v>
      </c>
      <c r="K31" s="22" t="str">
        <f t="shared" si="3"/>
        <v>OVER 146.5</v>
      </c>
      <c r="L31" s="20">
        <f t="shared" si="4"/>
        <v>5</v>
      </c>
    </row>
    <row r="32">
      <c r="A32" s="17" t="s">
        <v>358</v>
      </c>
      <c r="B32" s="18">
        <v>10.5</v>
      </c>
      <c r="C32" s="18">
        <v>9.0</v>
      </c>
      <c r="D32" s="17" t="s">
        <v>359</v>
      </c>
      <c r="E32" s="18">
        <v>-10.5</v>
      </c>
      <c r="F32" s="18">
        <v>-9.0</v>
      </c>
      <c r="G32" s="18">
        <v>155.5</v>
      </c>
      <c r="H32" s="18">
        <v>157.5</v>
      </c>
      <c r="I32" s="21" t="str">
        <f t="shared" si="1"/>
        <v>MONTANA STATE (-9)</v>
      </c>
      <c r="J32" s="20">
        <f t="shared" si="2"/>
        <v>1.5</v>
      </c>
      <c r="K32" s="22" t="str">
        <f t="shared" si="3"/>
        <v>UNDER 157.5</v>
      </c>
      <c r="L32" s="20">
        <f t="shared" si="4"/>
        <v>2</v>
      </c>
    </row>
    <row r="33">
      <c r="A33" s="17" t="s">
        <v>360</v>
      </c>
      <c r="B33" s="18">
        <v>6.5</v>
      </c>
      <c r="C33" s="18">
        <v>7.5</v>
      </c>
      <c r="D33" s="17" t="s">
        <v>361</v>
      </c>
      <c r="E33" s="18">
        <v>-6.5</v>
      </c>
      <c r="F33" s="18">
        <v>-7.5</v>
      </c>
      <c r="G33" s="18">
        <v>158.5</v>
      </c>
      <c r="H33" s="18">
        <v>162.5</v>
      </c>
      <c r="I33" s="21" t="str">
        <f t="shared" si="1"/>
        <v>DETROIT MERCY (+7.5)</v>
      </c>
      <c r="J33" s="20">
        <f t="shared" si="2"/>
        <v>1</v>
      </c>
      <c r="K33" s="22" t="str">
        <f t="shared" si="3"/>
        <v>UNDER 162.5</v>
      </c>
      <c r="L33" s="20">
        <f t="shared" si="4"/>
        <v>4</v>
      </c>
    </row>
    <row r="34">
      <c r="A34" s="17" t="s">
        <v>362</v>
      </c>
      <c r="B34" s="18">
        <v>2.5</v>
      </c>
      <c r="C34" s="18">
        <v>2.5</v>
      </c>
      <c r="D34" s="17" t="s">
        <v>363</v>
      </c>
      <c r="E34" s="18">
        <v>-2.5</v>
      </c>
      <c r="F34" s="18">
        <v>-2.5</v>
      </c>
      <c r="G34" s="18">
        <v>148.5</v>
      </c>
      <c r="H34" s="18">
        <v>145.5</v>
      </c>
      <c r="I34" s="21" t="str">
        <f t="shared" si="1"/>
        <v>PASS</v>
      </c>
      <c r="J34" s="20">
        <f t="shared" si="2"/>
        <v>0</v>
      </c>
      <c r="K34" s="22" t="str">
        <f t="shared" si="3"/>
        <v>OVER 145.5</v>
      </c>
      <c r="L34" s="20">
        <f t="shared" si="4"/>
        <v>3</v>
      </c>
    </row>
    <row r="35">
      <c r="A35" s="17" t="s">
        <v>364</v>
      </c>
      <c r="B35" s="18">
        <v>5.5</v>
      </c>
      <c r="C35" s="18">
        <v>3.5</v>
      </c>
      <c r="D35" s="17" t="s">
        <v>365</v>
      </c>
      <c r="E35" s="18">
        <v>-5.5</v>
      </c>
      <c r="F35" s="18">
        <v>-3.5</v>
      </c>
      <c r="G35" s="18">
        <v>153.5</v>
      </c>
      <c r="H35" s="18">
        <v>153.0</v>
      </c>
      <c r="I35" s="21" t="str">
        <f t="shared" si="1"/>
        <v>MONMOUTH (-3.5)</v>
      </c>
      <c r="J35" s="20">
        <f t="shared" si="2"/>
        <v>2</v>
      </c>
      <c r="K35" s="22" t="str">
        <f t="shared" si="3"/>
        <v>OVER 153</v>
      </c>
      <c r="L35" s="20">
        <f t="shared" si="4"/>
        <v>0.5</v>
      </c>
    </row>
    <row r="36">
      <c r="A36" s="17" t="s">
        <v>37</v>
      </c>
      <c r="B36" s="18">
        <v>9.5</v>
      </c>
      <c r="C36" s="18">
        <v>9.5</v>
      </c>
      <c r="D36" s="17" t="s">
        <v>366</v>
      </c>
      <c r="E36" s="18">
        <v>-9.5</v>
      </c>
      <c r="F36" s="18">
        <v>-9.5</v>
      </c>
      <c r="G36" s="18">
        <v>146.5</v>
      </c>
      <c r="H36" s="18">
        <v>143.5</v>
      </c>
      <c r="I36" s="21" t="str">
        <f t="shared" si="1"/>
        <v>PASS</v>
      </c>
      <c r="J36" s="20">
        <f t="shared" si="2"/>
        <v>0</v>
      </c>
      <c r="K36" s="22" t="str">
        <f t="shared" si="3"/>
        <v>OVER 143.5</v>
      </c>
      <c r="L36" s="20">
        <f t="shared" si="4"/>
        <v>3</v>
      </c>
    </row>
    <row r="37">
      <c r="A37" s="17" t="s">
        <v>367</v>
      </c>
      <c r="B37" s="18">
        <v>12.5</v>
      </c>
      <c r="C37" s="18">
        <v>12.0</v>
      </c>
      <c r="D37" s="17" t="s">
        <v>368</v>
      </c>
      <c r="E37" s="18">
        <v>-12.5</v>
      </c>
      <c r="F37" s="18">
        <v>-12.0</v>
      </c>
      <c r="G37" s="18">
        <v>165.5</v>
      </c>
      <c r="H37" s="18">
        <v>159.5</v>
      </c>
      <c r="I37" s="21" t="str">
        <f t="shared" si="1"/>
        <v>GEORGIA (-12)</v>
      </c>
      <c r="J37" s="20">
        <f t="shared" si="2"/>
        <v>0.5</v>
      </c>
      <c r="K37" s="22" t="str">
        <f t="shared" si="3"/>
        <v>OVER 159.5</v>
      </c>
      <c r="L37" s="20">
        <f t="shared" si="4"/>
        <v>6</v>
      </c>
    </row>
    <row r="38">
      <c r="A38" s="17" t="s">
        <v>369</v>
      </c>
      <c r="B38" s="18">
        <v>10.5</v>
      </c>
      <c r="C38" s="18">
        <v>7.0</v>
      </c>
      <c r="D38" s="17" t="s">
        <v>370</v>
      </c>
      <c r="E38" s="18">
        <v>-10.5</v>
      </c>
      <c r="F38" s="18">
        <v>-7.0</v>
      </c>
      <c r="G38" s="18">
        <v>156.5</v>
      </c>
      <c r="H38" s="18">
        <v>150.5</v>
      </c>
      <c r="I38" s="21" t="str">
        <f t="shared" si="1"/>
        <v>ARIZONA STATE (-7)</v>
      </c>
      <c r="J38" s="20">
        <f t="shared" si="2"/>
        <v>3.5</v>
      </c>
      <c r="K38" s="22" t="str">
        <f t="shared" si="3"/>
        <v>OVER 150.5</v>
      </c>
      <c r="L38" s="20">
        <f t="shared" si="4"/>
        <v>6</v>
      </c>
    </row>
    <row r="39">
      <c r="A39" s="17" t="s">
        <v>371</v>
      </c>
      <c r="B39" s="18">
        <v>-5.5</v>
      </c>
      <c r="C39" s="18">
        <v>-5.0</v>
      </c>
      <c r="D39" s="17" t="s">
        <v>372</v>
      </c>
      <c r="E39" s="18">
        <v>5.5</v>
      </c>
      <c r="F39" s="18">
        <v>5.0</v>
      </c>
      <c r="G39" s="18">
        <v>150.5</v>
      </c>
      <c r="H39" s="18">
        <v>146.5</v>
      </c>
      <c r="I39" s="21" t="str">
        <f t="shared" si="1"/>
        <v>RICHMOND (-5)</v>
      </c>
      <c r="J39" s="20">
        <f t="shared" si="2"/>
        <v>0.5</v>
      </c>
      <c r="K39" s="22" t="str">
        <f t="shared" si="3"/>
        <v>OVER 146.5</v>
      </c>
      <c r="L39" s="20">
        <f t="shared" si="4"/>
        <v>4</v>
      </c>
    </row>
    <row r="40">
      <c r="A40" s="17" t="s">
        <v>373</v>
      </c>
      <c r="B40" s="18">
        <v>9.5</v>
      </c>
      <c r="C40" s="18">
        <v>9.5</v>
      </c>
      <c r="D40" s="17" t="s">
        <v>374</v>
      </c>
      <c r="E40" s="18">
        <v>-9.5</v>
      </c>
      <c r="F40" s="18">
        <v>-9.5</v>
      </c>
      <c r="G40" s="18">
        <v>149.5</v>
      </c>
      <c r="H40" s="18">
        <v>146.0</v>
      </c>
      <c r="I40" s="21" t="str">
        <f t="shared" si="1"/>
        <v>PASS</v>
      </c>
      <c r="J40" s="20">
        <f t="shared" si="2"/>
        <v>0</v>
      </c>
      <c r="K40" s="22" t="str">
        <f t="shared" si="3"/>
        <v>OVER 146</v>
      </c>
      <c r="L40" s="20">
        <f t="shared" si="4"/>
        <v>3.5</v>
      </c>
    </row>
    <row r="41">
      <c r="A41" s="17" t="s">
        <v>375</v>
      </c>
      <c r="B41" s="18">
        <v>5.5</v>
      </c>
      <c r="C41" s="18">
        <v>2.5</v>
      </c>
      <c r="D41" s="17" t="s">
        <v>376</v>
      </c>
      <c r="E41" s="18">
        <v>-5.5</v>
      </c>
      <c r="F41" s="18">
        <v>-2.5</v>
      </c>
      <c r="G41" s="18">
        <v>153.5</v>
      </c>
      <c r="H41" s="18">
        <v>154.5</v>
      </c>
      <c r="I41" s="21" t="str">
        <f t="shared" si="1"/>
        <v>IDAHO (-2.5)</v>
      </c>
      <c r="J41" s="20">
        <f t="shared" si="2"/>
        <v>3</v>
      </c>
      <c r="K41" s="22" t="str">
        <f t="shared" si="3"/>
        <v>UNDER 154.5</v>
      </c>
      <c r="L41" s="20">
        <f t="shared" si="4"/>
        <v>1</v>
      </c>
    </row>
    <row r="42">
      <c r="A42" s="17" t="s">
        <v>377</v>
      </c>
      <c r="B42" s="18">
        <v>5.0</v>
      </c>
      <c r="C42" s="18">
        <v>1.5</v>
      </c>
      <c r="D42" s="17" t="s">
        <v>378</v>
      </c>
      <c r="E42" s="18">
        <v>-5.0</v>
      </c>
      <c r="F42" s="18">
        <v>-1.5</v>
      </c>
      <c r="G42" s="18">
        <v>133.5</v>
      </c>
      <c r="H42" s="18">
        <v>132.5</v>
      </c>
      <c r="I42" s="21" t="str">
        <f t="shared" si="1"/>
        <v>NORTHERN ILLINOIS (-1.5)</v>
      </c>
      <c r="J42" s="20">
        <f t="shared" si="2"/>
        <v>3.5</v>
      </c>
      <c r="K42" s="22" t="str">
        <f t="shared" si="3"/>
        <v>OVER 132.5</v>
      </c>
      <c r="L42" s="20">
        <f t="shared" si="4"/>
        <v>1</v>
      </c>
    </row>
    <row r="43">
      <c r="A43" s="17" t="s">
        <v>379</v>
      </c>
      <c r="B43" s="18">
        <v>4.5</v>
      </c>
      <c r="C43" s="18">
        <v>3.5</v>
      </c>
      <c r="D43" s="17" t="s">
        <v>380</v>
      </c>
      <c r="E43" s="18">
        <v>-4.5</v>
      </c>
      <c r="F43" s="18">
        <v>-3.5</v>
      </c>
      <c r="G43" s="18">
        <v>152.5</v>
      </c>
      <c r="H43" s="18">
        <v>149.0</v>
      </c>
      <c r="I43" s="21" t="str">
        <f t="shared" si="1"/>
        <v>PORTLAND (-3.5)</v>
      </c>
      <c r="J43" s="20">
        <f t="shared" si="2"/>
        <v>1</v>
      </c>
      <c r="K43" s="22" t="str">
        <f t="shared" si="3"/>
        <v>OVER 149</v>
      </c>
      <c r="L43" s="20">
        <f t="shared" si="4"/>
        <v>3.5</v>
      </c>
    </row>
    <row r="44">
      <c r="A44" s="17" t="s">
        <v>381</v>
      </c>
      <c r="B44" s="18">
        <v>2.5</v>
      </c>
      <c r="C44" s="18" t="s">
        <v>64</v>
      </c>
      <c r="D44" s="17" t="s">
        <v>382</v>
      </c>
      <c r="E44" s="18">
        <v>-2.5</v>
      </c>
      <c r="F44" s="18" t="s">
        <v>64</v>
      </c>
      <c r="G44" s="18">
        <v>148.5</v>
      </c>
      <c r="H44" s="18">
        <v>143.5</v>
      </c>
      <c r="I44" s="21" t="str">
        <f t="shared" si="1"/>
        <v>MONTANA (pk)</v>
      </c>
      <c r="J44" s="20">
        <f t="shared" si="2"/>
        <v>2.5</v>
      </c>
      <c r="K44" s="22" t="str">
        <f t="shared" si="3"/>
        <v>OVER 143.5</v>
      </c>
      <c r="L44" s="20">
        <f t="shared" si="4"/>
        <v>5</v>
      </c>
    </row>
    <row r="45">
      <c r="A45" s="17" t="s">
        <v>383</v>
      </c>
      <c r="B45" s="18">
        <v>-0.5</v>
      </c>
      <c r="C45" s="18">
        <v>1.0</v>
      </c>
      <c r="D45" s="17" t="s">
        <v>384</v>
      </c>
      <c r="E45" s="18">
        <v>0.5</v>
      </c>
      <c r="F45" s="18">
        <v>-1.0</v>
      </c>
      <c r="G45" s="18">
        <v>157.5</v>
      </c>
      <c r="H45" s="18">
        <v>159.0</v>
      </c>
      <c r="I45" s="21" t="str">
        <f t="shared" si="1"/>
        <v>TOLEDO (+1)</v>
      </c>
      <c r="J45" s="20">
        <f t="shared" si="2"/>
        <v>1.5</v>
      </c>
      <c r="K45" s="22" t="str">
        <f t="shared" si="3"/>
        <v>UNDER 159</v>
      </c>
      <c r="L45" s="20">
        <f t="shared" si="4"/>
        <v>1.5</v>
      </c>
    </row>
    <row r="46">
      <c r="A46" s="17" t="s">
        <v>385</v>
      </c>
      <c r="B46" s="18">
        <v>-1.5</v>
      </c>
      <c r="C46" s="18">
        <v>-5.0</v>
      </c>
      <c r="D46" s="17" t="s">
        <v>169</v>
      </c>
      <c r="E46" s="18">
        <v>1.5</v>
      </c>
      <c r="F46" s="18">
        <v>5.0</v>
      </c>
      <c r="G46" s="18">
        <v>152.5</v>
      </c>
      <c r="H46" s="18">
        <v>147.5</v>
      </c>
      <c r="I46" s="21" t="str">
        <f t="shared" si="1"/>
        <v>USC (+5)</v>
      </c>
      <c r="J46" s="20">
        <f t="shared" si="2"/>
        <v>3.5</v>
      </c>
      <c r="K46" s="22" t="str">
        <f t="shared" si="3"/>
        <v>OVER 147.5</v>
      </c>
      <c r="L46" s="20">
        <f t="shared" si="4"/>
        <v>5</v>
      </c>
    </row>
    <row r="47">
      <c r="A47" s="17" t="s">
        <v>386</v>
      </c>
      <c r="B47" s="18">
        <v>11.5</v>
      </c>
      <c r="C47" s="18">
        <v>9.5</v>
      </c>
      <c r="D47" s="17" t="s">
        <v>387</v>
      </c>
      <c r="E47" s="18">
        <v>-11.5</v>
      </c>
      <c r="F47" s="18">
        <v>-9.5</v>
      </c>
      <c r="G47" s="18">
        <v>148.5</v>
      </c>
      <c r="H47" s="18">
        <v>149.5</v>
      </c>
      <c r="I47" s="21" t="str">
        <f t="shared" si="1"/>
        <v>ARIZONA (-9.5)</v>
      </c>
      <c r="J47" s="20">
        <f t="shared" si="2"/>
        <v>2</v>
      </c>
      <c r="K47" s="22" t="str">
        <f t="shared" si="3"/>
        <v>UNDER 149.5</v>
      </c>
      <c r="L47" s="20">
        <f t="shared" si="4"/>
        <v>1</v>
      </c>
    </row>
    <row r="48">
      <c r="A48" s="17" t="s">
        <v>388</v>
      </c>
      <c r="B48" s="18">
        <v>-7.5</v>
      </c>
      <c r="C48" s="18">
        <v>-4.5</v>
      </c>
      <c r="D48" s="17" t="s">
        <v>389</v>
      </c>
      <c r="E48" s="18">
        <v>7.5</v>
      </c>
      <c r="F48" s="18">
        <v>4.5</v>
      </c>
      <c r="G48" s="18">
        <v>140.5</v>
      </c>
      <c r="H48" s="18">
        <v>138.0</v>
      </c>
      <c r="I48" s="21" t="str">
        <f t="shared" si="1"/>
        <v>VALPARAISO (-4.5)</v>
      </c>
      <c r="J48" s="20">
        <f t="shared" si="2"/>
        <v>3</v>
      </c>
      <c r="K48" s="22" t="str">
        <f t="shared" si="3"/>
        <v>OVER 138</v>
      </c>
      <c r="L48" s="20">
        <f t="shared" si="4"/>
        <v>2.5</v>
      </c>
    </row>
    <row r="49">
      <c r="A49" s="17" t="s">
        <v>390</v>
      </c>
      <c r="B49" s="18">
        <v>5.0</v>
      </c>
      <c r="C49" s="18">
        <v>4.5</v>
      </c>
      <c r="D49" s="17" t="s">
        <v>391</v>
      </c>
      <c r="E49" s="18">
        <v>5.0</v>
      </c>
      <c r="F49" s="18">
        <v>-4.5</v>
      </c>
      <c r="G49" s="18">
        <v>148.5</v>
      </c>
      <c r="H49" s="18">
        <v>146.5</v>
      </c>
      <c r="I49" s="21" t="str">
        <f t="shared" si="1"/>
        <v>NORTHEASTERN (+4.5)</v>
      </c>
      <c r="J49" s="20">
        <f t="shared" si="2"/>
        <v>9.5</v>
      </c>
      <c r="K49" s="22" t="str">
        <f t="shared" si="3"/>
        <v>OVER 146.5</v>
      </c>
      <c r="L49" s="20">
        <f t="shared" si="4"/>
        <v>2</v>
      </c>
    </row>
    <row r="50">
      <c r="A50" s="17" t="s">
        <v>392</v>
      </c>
      <c r="B50" s="18">
        <v>1.0</v>
      </c>
      <c r="C50" s="18">
        <v>6.0</v>
      </c>
      <c r="D50" s="17" t="s">
        <v>393</v>
      </c>
      <c r="E50" s="18">
        <v>-1.0</v>
      </c>
      <c r="F50" s="18">
        <v>-6.0</v>
      </c>
      <c r="G50" s="18">
        <v>146.5</v>
      </c>
      <c r="H50" s="18">
        <v>140.5</v>
      </c>
      <c r="I50" s="21" t="str">
        <f t="shared" si="1"/>
        <v>SOUTHERN INDIANA (+6)</v>
      </c>
      <c r="J50" s="20">
        <f t="shared" si="2"/>
        <v>5</v>
      </c>
      <c r="K50" s="22" t="str">
        <f t="shared" si="3"/>
        <v>OVER 140.5</v>
      </c>
      <c r="L50" s="20">
        <f t="shared" si="4"/>
        <v>6</v>
      </c>
    </row>
    <row r="51">
      <c r="A51" s="17" t="s">
        <v>394</v>
      </c>
      <c r="B51" s="18">
        <v>10.5</v>
      </c>
      <c r="C51" s="18">
        <v>10.0</v>
      </c>
      <c r="D51" s="17" t="s">
        <v>395</v>
      </c>
      <c r="E51" s="18">
        <v>-10.5</v>
      </c>
      <c r="F51" s="18">
        <v>-10.0</v>
      </c>
      <c r="G51" s="18">
        <v>151.5</v>
      </c>
      <c r="H51" s="18">
        <v>148.0</v>
      </c>
      <c r="I51" s="21" t="str">
        <f t="shared" si="1"/>
        <v>EASTERN WASHINGTON (-10)</v>
      </c>
      <c r="J51" s="20">
        <f t="shared" si="2"/>
        <v>0.5</v>
      </c>
      <c r="K51" s="22" t="str">
        <f t="shared" si="3"/>
        <v>OVER 148</v>
      </c>
      <c r="L51" s="20">
        <f t="shared" si="4"/>
        <v>3.5</v>
      </c>
    </row>
    <row r="52">
      <c r="A52" s="17" t="s">
        <v>396</v>
      </c>
      <c r="B52" s="18">
        <v>10.0</v>
      </c>
      <c r="C52" s="18">
        <v>14.5</v>
      </c>
      <c r="D52" s="17" t="s">
        <v>397</v>
      </c>
      <c r="E52" s="18">
        <v>-10.0</v>
      </c>
      <c r="F52" s="18">
        <v>-14.5</v>
      </c>
      <c r="G52" s="18">
        <v>147.0</v>
      </c>
      <c r="H52" s="18">
        <v>140.5</v>
      </c>
      <c r="I52" s="21" t="str">
        <f t="shared" si="1"/>
        <v>ABILENE CHRISTIAN (+14.5)</v>
      </c>
      <c r="J52" s="20">
        <f t="shared" si="2"/>
        <v>4.5</v>
      </c>
      <c r="K52" s="22" t="str">
        <f t="shared" si="3"/>
        <v>OVER 140.5</v>
      </c>
      <c r="L52" s="20">
        <f t="shared" si="4"/>
        <v>6.5</v>
      </c>
    </row>
    <row r="53">
      <c r="A53" s="17" t="s">
        <v>398</v>
      </c>
      <c r="B53" s="18" t="s">
        <v>64</v>
      </c>
      <c r="C53" s="18">
        <v>2.5</v>
      </c>
      <c r="D53" s="17" t="s">
        <v>399</v>
      </c>
      <c r="E53" s="18" t="s">
        <v>64</v>
      </c>
      <c r="F53" s="18">
        <v>-2.5</v>
      </c>
      <c r="G53" s="18">
        <v>162.5</v>
      </c>
      <c r="H53" s="18">
        <v>161.5</v>
      </c>
      <c r="I53" s="21" t="str">
        <f t="shared" si="1"/>
        <v>TEXAS (+2.5)</v>
      </c>
      <c r="J53" s="20">
        <f t="shared" si="2"/>
        <v>2.5</v>
      </c>
      <c r="K53" s="22" t="str">
        <f t="shared" si="3"/>
        <v>OVER 161.5</v>
      </c>
      <c r="L53" s="20">
        <f t="shared" si="4"/>
        <v>1</v>
      </c>
    </row>
    <row r="54">
      <c r="A54" s="17" t="s">
        <v>400</v>
      </c>
      <c r="B54" s="18">
        <v>1.5</v>
      </c>
      <c r="C54" s="18">
        <v>-1.0</v>
      </c>
      <c r="D54" s="17" t="s">
        <v>401</v>
      </c>
      <c r="E54" s="18">
        <v>-1.5</v>
      </c>
      <c r="F54" s="18">
        <v>1.0</v>
      </c>
      <c r="G54" s="18">
        <v>150.5</v>
      </c>
      <c r="H54" s="18">
        <v>153.5</v>
      </c>
      <c r="I54" s="21" t="str">
        <f t="shared" si="1"/>
        <v>WASHINGTON (+1)</v>
      </c>
      <c r="J54" s="20">
        <f t="shared" si="2"/>
        <v>2.5</v>
      </c>
      <c r="K54" s="22" t="str">
        <f t="shared" si="3"/>
        <v>UNDER 153.5</v>
      </c>
      <c r="L54" s="20">
        <f t="shared" si="4"/>
        <v>3</v>
      </c>
    </row>
    <row r="55">
      <c r="A55" s="17" t="s">
        <v>402</v>
      </c>
      <c r="B55" s="18">
        <v>7.5</v>
      </c>
      <c r="C55" s="18">
        <v>7.5</v>
      </c>
      <c r="D55" s="17" t="s">
        <v>403</v>
      </c>
      <c r="E55" s="18">
        <v>-7.5</v>
      </c>
      <c r="F55" s="18">
        <v>-7.5</v>
      </c>
      <c r="G55" s="18">
        <v>144.5</v>
      </c>
      <c r="H55" s="18">
        <v>141.0</v>
      </c>
      <c r="I55" s="21" t="str">
        <f t="shared" si="1"/>
        <v>PASS</v>
      </c>
      <c r="J55" s="20">
        <f t="shared" si="2"/>
        <v>0</v>
      </c>
      <c r="K55" s="22" t="str">
        <f t="shared" si="3"/>
        <v>OVER 141</v>
      </c>
      <c r="L55" s="20">
        <f t="shared" si="4"/>
        <v>3.5</v>
      </c>
    </row>
    <row r="56">
      <c r="A56" s="17" t="s">
        <v>404</v>
      </c>
      <c r="B56" s="18">
        <v>19.5</v>
      </c>
      <c r="C56" s="18">
        <v>21.5</v>
      </c>
      <c r="D56" s="17" t="s">
        <v>405</v>
      </c>
      <c r="E56" s="18">
        <v>-19.5</v>
      </c>
      <c r="F56" s="18">
        <v>-21.5</v>
      </c>
      <c r="G56" s="18">
        <v>149.5</v>
      </c>
      <c r="H56" s="18">
        <v>147.5</v>
      </c>
      <c r="I56" s="21" t="str">
        <f t="shared" si="1"/>
        <v>AIR FORCE (+21.5)</v>
      </c>
      <c r="J56" s="20">
        <f t="shared" si="2"/>
        <v>2</v>
      </c>
      <c r="K56" s="22" t="str">
        <f t="shared" si="3"/>
        <v>OVER 147.5</v>
      </c>
      <c r="L56" s="20">
        <f t="shared" si="4"/>
        <v>2</v>
      </c>
    </row>
    <row r="57">
      <c r="A57" s="17" t="s">
        <v>406</v>
      </c>
      <c r="B57" s="18">
        <v>-8.0</v>
      </c>
      <c r="C57" s="18">
        <v>-11.0</v>
      </c>
      <c r="D57" s="17" t="s">
        <v>407</v>
      </c>
      <c r="E57" s="18">
        <v>8.0</v>
      </c>
      <c r="F57" s="18">
        <v>11.0</v>
      </c>
      <c r="G57" s="18">
        <v>146.5</v>
      </c>
      <c r="H57" s="18">
        <v>148.5</v>
      </c>
      <c r="I57" s="21" t="str">
        <f t="shared" si="1"/>
        <v>WESTERN ILLINOIS (+11)</v>
      </c>
      <c r="J57" s="20">
        <f t="shared" si="2"/>
        <v>3</v>
      </c>
      <c r="K57" s="22" t="str">
        <f t="shared" si="3"/>
        <v>UNDER 148.5</v>
      </c>
      <c r="L57" s="20">
        <f t="shared" si="4"/>
        <v>2</v>
      </c>
    </row>
    <row r="58">
      <c r="A58" s="17" t="s">
        <v>408</v>
      </c>
      <c r="B58" s="18">
        <v>4.0</v>
      </c>
      <c r="C58" s="18">
        <v>6.0</v>
      </c>
      <c r="D58" s="17" t="s">
        <v>409</v>
      </c>
      <c r="E58" s="18">
        <v>-4.0</v>
      </c>
      <c r="F58" s="18">
        <v>-6.0</v>
      </c>
      <c r="G58" s="18">
        <v>136.5</v>
      </c>
      <c r="H58" s="18">
        <v>130.0</v>
      </c>
      <c r="I58" s="21" t="str">
        <f t="shared" si="1"/>
        <v>EASTERN ILLINOIS (+6)</v>
      </c>
      <c r="J58" s="20">
        <f t="shared" si="2"/>
        <v>2</v>
      </c>
      <c r="K58" s="22" t="str">
        <f t="shared" si="3"/>
        <v>OVER 130</v>
      </c>
      <c r="L58" s="20">
        <f t="shared" si="4"/>
        <v>6.5</v>
      </c>
    </row>
    <row r="59">
      <c r="A59" s="17" t="s">
        <v>410</v>
      </c>
      <c r="B59" s="18">
        <v>3.0</v>
      </c>
      <c r="C59" s="18">
        <v>1.5</v>
      </c>
      <c r="D59" s="17" t="s">
        <v>411</v>
      </c>
      <c r="E59" s="18">
        <v>-3.0</v>
      </c>
      <c r="F59" s="18">
        <v>-1.5</v>
      </c>
      <c r="G59" s="18">
        <v>153.5</v>
      </c>
      <c r="H59" s="18">
        <v>152.5</v>
      </c>
      <c r="I59" s="21" t="str">
        <f t="shared" si="1"/>
        <v>MERCER (-1.5)</v>
      </c>
      <c r="J59" s="20">
        <f t="shared" si="2"/>
        <v>1.5</v>
      </c>
      <c r="K59" s="22" t="str">
        <f t="shared" si="3"/>
        <v>OVER 152.5</v>
      </c>
      <c r="L59" s="20">
        <f t="shared" si="4"/>
        <v>1</v>
      </c>
    </row>
    <row r="60">
      <c r="A60" s="17" t="s">
        <v>412</v>
      </c>
      <c r="B60" s="18">
        <v>8.0</v>
      </c>
      <c r="C60" s="18">
        <v>7.5</v>
      </c>
      <c r="D60" s="17" t="s">
        <v>413</v>
      </c>
      <c r="E60" s="18">
        <v>-8.0</v>
      </c>
      <c r="F60" s="18">
        <v>-7.5</v>
      </c>
      <c r="G60" s="18">
        <v>142.5</v>
      </c>
      <c r="H60" s="18">
        <v>141.5</v>
      </c>
      <c r="I60" s="21" t="str">
        <f t="shared" si="1"/>
        <v>SE MISSOURI STATE (-7.5)</v>
      </c>
      <c r="J60" s="20">
        <f t="shared" si="2"/>
        <v>0.5</v>
      </c>
      <c r="K60" s="22" t="str">
        <f t="shared" si="3"/>
        <v>OVER 141.5</v>
      </c>
      <c r="L60" s="20">
        <f t="shared" si="4"/>
        <v>1</v>
      </c>
    </row>
    <row r="61">
      <c r="A61" s="17" t="s">
        <v>414</v>
      </c>
      <c r="B61" s="18">
        <v>-4.0</v>
      </c>
      <c r="C61" s="18">
        <v>-8.0</v>
      </c>
      <c r="D61" s="17" t="s">
        <v>415</v>
      </c>
      <c r="E61" s="18">
        <v>4.0</v>
      </c>
      <c r="F61" s="18">
        <v>8.0</v>
      </c>
      <c r="G61" s="18">
        <v>146.5</v>
      </c>
      <c r="H61" s="18">
        <v>145.5</v>
      </c>
      <c r="I61" s="21" t="str">
        <f t="shared" si="1"/>
        <v>SAN JOSE STATE (+8)</v>
      </c>
      <c r="J61" s="20">
        <f t="shared" si="2"/>
        <v>4</v>
      </c>
      <c r="K61" s="22" t="str">
        <f t="shared" si="3"/>
        <v>OVER 145.5</v>
      </c>
      <c r="L61" s="20">
        <f t="shared" si="4"/>
        <v>1</v>
      </c>
    </row>
    <row r="62">
      <c r="A62" s="17" t="s">
        <v>416</v>
      </c>
      <c r="B62" s="18">
        <v>8.5</v>
      </c>
      <c r="C62" s="18">
        <v>12.5</v>
      </c>
      <c r="D62" s="17" t="s">
        <v>417</v>
      </c>
      <c r="E62" s="18">
        <v>-8.5</v>
      </c>
      <c r="F62" s="18">
        <v>-12.5</v>
      </c>
      <c r="G62" s="18">
        <v>155.5</v>
      </c>
      <c r="H62" s="18">
        <v>151.0</v>
      </c>
      <c r="I62" s="21" t="str">
        <f t="shared" si="1"/>
        <v>NORTH DAKOTA (+12.5)</v>
      </c>
      <c r="J62" s="20">
        <f t="shared" si="2"/>
        <v>4</v>
      </c>
      <c r="K62" s="22" t="str">
        <f t="shared" si="3"/>
        <v>OVER 151</v>
      </c>
      <c r="L62" s="20">
        <f t="shared" si="4"/>
        <v>4.5</v>
      </c>
    </row>
    <row r="63">
      <c r="A63" s="17" t="s">
        <v>418</v>
      </c>
      <c r="B63" s="18">
        <v>15.0</v>
      </c>
      <c r="C63" s="18">
        <v>11.0</v>
      </c>
      <c r="D63" s="17" t="s">
        <v>419</v>
      </c>
      <c r="E63" s="18">
        <v>-15.0</v>
      </c>
      <c r="F63" s="18">
        <v>-11.0</v>
      </c>
      <c r="G63" s="18">
        <v>150.5</v>
      </c>
      <c r="H63" s="18">
        <v>145.0</v>
      </c>
      <c r="I63" s="21" t="str">
        <f t="shared" si="1"/>
        <v>KENNESAW STATE (-11)</v>
      </c>
      <c r="J63" s="20">
        <f t="shared" si="2"/>
        <v>4</v>
      </c>
      <c r="K63" s="22" t="str">
        <f t="shared" si="3"/>
        <v>OVER 145</v>
      </c>
      <c r="L63" s="20">
        <f t="shared" si="4"/>
        <v>5.5</v>
      </c>
    </row>
    <row r="64">
      <c r="A64" s="17" t="s">
        <v>420</v>
      </c>
      <c r="B64" s="18">
        <v>-1.0</v>
      </c>
      <c r="C64" s="18">
        <v>2.5</v>
      </c>
      <c r="D64" s="17" t="s">
        <v>421</v>
      </c>
      <c r="E64" s="18">
        <v>1.0</v>
      </c>
      <c r="F64" s="18">
        <v>-2.5</v>
      </c>
      <c r="G64" s="18">
        <v>162.5</v>
      </c>
      <c r="H64" s="18">
        <v>166.5</v>
      </c>
      <c r="I64" s="21" t="str">
        <f t="shared" si="1"/>
        <v>PROVIDENCE (+2.5)</v>
      </c>
      <c r="J64" s="20">
        <f t="shared" si="2"/>
        <v>3.5</v>
      </c>
      <c r="K64" s="22" t="str">
        <f t="shared" si="3"/>
        <v>UNDER 166.5</v>
      </c>
      <c r="L64" s="20">
        <f t="shared" si="4"/>
        <v>4</v>
      </c>
    </row>
    <row r="65">
      <c r="A65" s="17" t="s">
        <v>422</v>
      </c>
      <c r="B65" s="18">
        <v>7.5</v>
      </c>
      <c r="C65" s="18">
        <v>7.5</v>
      </c>
      <c r="D65" s="17" t="s">
        <v>423</v>
      </c>
      <c r="E65" s="18">
        <v>-7.5</v>
      </c>
      <c r="F65" s="18">
        <v>-7.5</v>
      </c>
      <c r="G65" s="18">
        <v>152.5</v>
      </c>
      <c r="H65" s="18">
        <v>154.5</v>
      </c>
      <c r="I65" s="21" t="str">
        <f t="shared" si="1"/>
        <v>PASS</v>
      </c>
      <c r="J65" s="20">
        <f t="shared" si="2"/>
        <v>0</v>
      </c>
      <c r="K65" s="22" t="str">
        <f t="shared" si="3"/>
        <v>UNDER 154.5</v>
      </c>
      <c r="L65" s="20">
        <f t="shared" si="4"/>
        <v>2</v>
      </c>
    </row>
    <row r="66">
      <c r="A66" s="17" t="s">
        <v>424</v>
      </c>
      <c r="B66" s="18">
        <v>2.0</v>
      </c>
      <c r="C66" s="18" t="s">
        <v>64</v>
      </c>
      <c r="D66" s="17" t="s">
        <v>425</v>
      </c>
      <c r="E66" s="18">
        <v>-2.0</v>
      </c>
      <c r="F66" s="18" t="s">
        <v>64</v>
      </c>
      <c r="G66" s="18">
        <v>151.5</v>
      </c>
      <c r="H66" s="18">
        <v>148.5</v>
      </c>
      <c r="I66" s="21" t="str">
        <f t="shared" si="1"/>
        <v>WESTERN CAROLINA (pk)</v>
      </c>
      <c r="J66" s="20">
        <f t="shared" si="2"/>
        <v>2</v>
      </c>
      <c r="K66" s="22" t="str">
        <f t="shared" si="3"/>
        <v>OVER 148.5</v>
      </c>
      <c r="L66" s="20">
        <f t="shared" si="4"/>
        <v>3</v>
      </c>
    </row>
    <row r="67">
      <c r="A67" s="17" t="s">
        <v>8</v>
      </c>
      <c r="B67" s="18">
        <v>-4.5</v>
      </c>
      <c r="C67" s="18">
        <v>-2.0</v>
      </c>
      <c r="D67" s="17" t="s">
        <v>426</v>
      </c>
      <c r="E67" s="18">
        <v>4.5</v>
      </c>
      <c r="F67" s="18">
        <v>2.0</v>
      </c>
      <c r="G67" s="18">
        <v>146.5</v>
      </c>
      <c r="H67" s="18">
        <v>141.5</v>
      </c>
      <c r="I67" s="21" t="str">
        <f t="shared" si="1"/>
        <v>BYU (-2)</v>
      </c>
      <c r="J67" s="20">
        <f t="shared" si="2"/>
        <v>2.5</v>
      </c>
      <c r="K67" s="22" t="str">
        <f t="shared" si="3"/>
        <v>OVER 141.5</v>
      </c>
      <c r="L67" s="20">
        <f t="shared" si="4"/>
        <v>5</v>
      </c>
    </row>
    <row r="68">
      <c r="A68" s="17" t="s">
        <v>427</v>
      </c>
      <c r="B68" s="18">
        <v>3.5</v>
      </c>
      <c r="C68" s="18">
        <v>4.0</v>
      </c>
      <c r="D68" s="17" t="s">
        <v>428</v>
      </c>
      <c r="E68" s="18">
        <v>-3.5</v>
      </c>
      <c r="F68" s="18">
        <v>-4.0</v>
      </c>
      <c r="G68" s="18">
        <v>154.5</v>
      </c>
      <c r="H68" s="18">
        <v>152.5</v>
      </c>
      <c r="I68" s="21" t="str">
        <f t="shared" si="1"/>
        <v>SYRACUSE (+4)</v>
      </c>
      <c r="J68" s="20">
        <f t="shared" si="2"/>
        <v>0.5</v>
      </c>
      <c r="K68" s="22" t="str">
        <f t="shared" si="3"/>
        <v>OVER 152.5</v>
      </c>
      <c r="L68" s="20">
        <f t="shared" si="4"/>
        <v>2</v>
      </c>
    </row>
    <row r="69">
      <c r="A69" s="17" t="s">
        <v>429</v>
      </c>
      <c r="B69" s="18">
        <v>4.0</v>
      </c>
      <c r="C69" s="18">
        <v>2.0</v>
      </c>
      <c r="D69" s="17" t="s">
        <v>213</v>
      </c>
      <c r="E69" s="18">
        <v>-4.0</v>
      </c>
      <c r="F69" s="18">
        <v>-2.0</v>
      </c>
      <c r="G69" s="18">
        <v>158.5</v>
      </c>
      <c r="H69" s="18">
        <v>156.0</v>
      </c>
      <c r="I69" s="21" t="str">
        <f t="shared" si="1"/>
        <v>LSU (-2)</v>
      </c>
      <c r="J69" s="20">
        <f t="shared" si="2"/>
        <v>2</v>
      </c>
      <c r="K69" s="22" t="str">
        <f t="shared" si="3"/>
        <v>OVER 156</v>
      </c>
      <c r="L69" s="20">
        <f t="shared" si="4"/>
        <v>2.5</v>
      </c>
    </row>
    <row r="70">
      <c r="A70" s="17" t="s">
        <v>219</v>
      </c>
      <c r="B70" s="18">
        <v>-2.5</v>
      </c>
      <c r="C70" s="18">
        <v>-1.0</v>
      </c>
      <c r="D70" s="17" t="s">
        <v>430</v>
      </c>
      <c r="E70" s="18">
        <v>2.5</v>
      </c>
      <c r="F70" s="18">
        <v>1.0</v>
      </c>
      <c r="G70" s="18">
        <v>154.5</v>
      </c>
      <c r="H70" s="18">
        <v>155.0</v>
      </c>
      <c r="I70" s="21" t="str">
        <f t="shared" si="1"/>
        <v>SMU (-1)</v>
      </c>
      <c r="J70" s="20">
        <f t="shared" si="2"/>
        <v>1.5</v>
      </c>
      <c r="K70" s="22" t="str">
        <f t="shared" si="3"/>
        <v>UNDER 155</v>
      </c>
      <c r="L70" s="20">
        <f t="shared" si="4"/>
        <v>0.5</v>
      </c>
    </row>
    <row r="71">
      <c r="A71" s="17" t="s">
        <v>431</v>
      </c>
      <c r="B71" s="18">
        <v>8.5</v>
      </c>
      <c r="C71" s="18">
        <v>9.5</v>
      </c>
      <c r="D71" s="17" t="s">
        <v>432</v>
      </c>
      <c r="E71" s="18">
        <v>-8.5</v>
      </c>
      <c r="F71" s="18">
        <v>-9.5</v>
      </c>
      <c r="G71" s="18">
        <v>157.5</v>
      </c>
      <c r="H71" s="18">
        <v>157.0</v>
      </c>
      <c r="I71" s="21" t="str">
        <f t="shared" si="1"/>
        <v>UNC GREENSBORO (+9.5)</v>
      </c>
      <c r="J71" s="20">
        <f t="shared" si="2"/>
        <v>1</v>
      </c>
      <c r="K71" s="22" t="str">
        <f t="shared" si="3"/>
        <v>OVER 157</v>
      </c>
      <c r="L71" s="20">
        <f t="shared" si="4"/>
        <v>0.5</v>
      </c>
    </row>
    <row r="72">
      <c r="A72" s="17" t="s">
        <v>433</v>
      </c>
      <c r="B72" s="18">
        <v>-0.5</v>
      </c>
      <c r="C72" s="18">
        <v>-3.5</v>
      </c>
      <c r="D72" s="17" t="s">
        <v>434</v>
      </c>
      <c r="E72" s="18">
        <v>0.5</v>
      </c>
      <c r="F72" s="18">
        <v>3.5</v>
      </c>
      <c r="G72" s="18">
        <v>147.5</v>
      </c>
      <c r="H72" s="18">
        <v>140.0</v>
      </c>
      <c r="I72" s="21" t="str">
        <f t="shared" si="1"/>
        <v>JACKSONVILLE STATE (+3.5)</v>
      </c>
      <c r="J72" s="20">
        <f t="shared" si="2"/>
        <v>3</v>
      </c>
      <c r="K72" s="22" t="str">
        <f t="shared" si="3"/>
        <v>OVER 140</v>
      </c>
      <c r="L72" s="20">
        <f t="shared" si="4"/>
        <v>7.5</v>
      </c>
    </row>
    <row r="73">
      <c r="A73" s="17" t="s">
        <v>435</v>
      </c>
      <c r="B73" s="18">
        <v>2.5</v>
      </c>
      <c r="C73" s="18">
        <v>4.0</v>
      </c>
      <c r="D73" s="17" t="s">
        <v>436</v>
      </c>
      <c r="E73" s="18">
        <v>-2.5</v>
      </c>
      <c r="F73" s="18">
        <v>-4.0</v>
      </c>
      <c r="G73" s="18">
        <v>147.5</v>
      </c>
      <c r="H73" s="18">
        <v>141.5</v>
      </c>
      <c r="I73" s="21" t="str">
        <f t="shared" si="1"/>
        <v>SAN FRANCISCO (+4)</v>
      </c>
      <c r="J73" s="20">
        <f t="shared" si="2"/>
        <v>1.5</v>
      </c>
      <c r="K73" s="22" t="str">
        <f t="shared" si="3"/>
        <v>OVER 141.5</v>
      </c>
      <c r="L73" s="20">
        <f t="shared" si="4"/>
        <v>6</v>
      </c>
    </row>
    <row r="74">
      <c r="A74" s="17" t="s">
        <v>437</v>
      </c>
      <c r="B74" s="18">
        <v>2.0</v>
      </c>
      <c r="C74" s="18">
        <v>-2.0</v>
      </c>
      <c r="D74" s="17" t="s">
        <v>438</v>
      </c>
      <c r="E74" s="18">
        <v>-2.0</v>
      </c>
      <c r="F74" s="18">
        <v>2.0</v>
      </c>
      <c r="G74" s="18">
        <v>155.5</v>
      </c>
      <c r="H74" s="18">
        <v>153.5</v>
      </c>
      <c r="I74" s="21" t="str">
        <f t="shared" si="1"/>
        <v>IDAHO STATE (+2)</v>
      </c>
      <c r="J74" s="20">
        <f t="shared" si="2"/>
        <v>4</v>
      </c>
      <c r="K74" s="22" t="str">
        <f t="shared" si="3"/>
        <v>OVER 153.5</v>
      </c>
      <c r="L74" s="20">
        <f t="shared" si="4"/>
        <v>2</v>
      </c>
    </row>
    <row r="75">
      <c r="A75" s="17" t="s">
        <v>439</v>
      </c>
      <c r="B75" s="18">
        <v>-1.5</v>
      </c>
      <c r="C75" s="18">
        <v>-4.5</v>
      </c>
      <c r="D75" s="17" t="s">
        <v>440</v>
      </c>
      <c r="E75" s="18">
        <v>2.0</v>
      </c>
      <c r="F75" s="18">
        <v>1.5</v>
      </c>
      <c r="G75" s="18">
        <v>167.5</v>
      </c>
      <c r="H75" s="18">
        <v>164.5</v>
      </c>
      <c r="I75" s="21" t="str">
        <f t="shared" si="1"/>
        <v>ALABAMA (-4.5)</v>
      </c>
      <c r="J75" s="20">
        <f t="shared" si="2"/>
        <v>0.5</v>
      </c>
      <c r="K75" s="22" t="str">
        <f t="shared" si="3"/>
        <v>OVER 164.5</v>
      </c>
      <c r="L75" s="20">
        <f t="shared" si="4"/>
        <v>3</v>
      </c>
    </row>
    <row r="76">
      <c r="A76" s="17" t="s">
        <v>162</v>
      </c>
      <c r="B76" s="18">
        <v>1.0</v>
      </c>
      <c r="C76" s="18">
        <v>-3.0</v>
      </c>
      <c r="D76" s="17" t="s">
        <v>441</v>
      </c>
      <c r="E76" s="18">
        <v>1.0</v>
      </c>
      <c r="F76" s="18">
        <v>3.0</v>
      </c>
      <c r="G76" s="18">
        <v>158.5</v>
      </c>
      <c r="H76" s="18">
        <v>158.0</v>
      </c>
      <c r="I76" s="21" t="str">
        <f t="shared" si="1"/>
        <v>KANSAS STATE (+3)</v>
      </c>
      <c r="J76" s="20">
        <f t="shared" si="2"/>
        <v>2</v>
      </c>
      <c r="K76" s="22" t="str">
        <f t="shared" si="3"/>
        <v>OVER 158</v>
      </c>
      <c r="L76" s="20">
        <f t="shared" si="4"/>
        <v>0.5</v>
      </c>
    </row>
    <row r="77">
      <c r="A77" s="17" t="s">
        <v>442</v>
      </c>
      <c r="B77" s="18">
        <v>4.0</v>
      </c>
      <c r="C77" s="18">
        <v>2.0</v>
      </c>
      <c r="D77" s="17" t="s">
        <v>443</v>
      </c>
      <c r="E77" s="18">
        <v>-4.0</v>
      </c>
      <c r="F77" s="18">
        <v>-2.0</v>
      </c>
      <c r="G77" s="18">
        <v>154.5</v>
      </c>
      <c r="H77" s="18">
        <v>152.5</v>
      </c>
      <c r="I77" s="21" t="str">
        <f t="shared" si="1"/>
        <v>NORTHERN KENTUCKY (-2)</v>
      </c>
      <c r="J77" s="20">
        <f t="shared" si="2"/>
        <v>2</v>
      </c>
      <c r="K77" s="22" t="str">
        <f t="shared" si="3"/>
        <v>OVER 152.5</v>
      </c>
      <c r="L77" s="20">
        <f t="shared" si="4"/>
        <v>2</v>
      </c>
    </row>
    <row r="78">
      <c r="A78" s="17" t="s">
        <v>444</v>
      </c>
      <c r="B78" s="18">
        <v>-2.0</v>
      </c>
      <c r="C78" s="18">
        <v>-3.0</v>
      </c>
      <c r="D78" s="17" t="s">
        <v>445</v>
      </c>
      <c r="E78" s="18">
        <v>2.0</v>
      </c>
      <c r="F78" s="18">
        <v>3.0</v>
      </c>
      <c r="G78" s="18">
        <v>156.5</v>
      </c>
      <c r="H78" s="18">
        <v>158.5</v>
      </c>
      <c r="I78" s="21" t="str">
        <f t="shared" si="1"/>
        <v>CS FULLERTON (+3)</v>
      </c>
      <c r="J78" s="20">
        <f t="shared" si="2"/>
        <v>1</v>
      </c>
      <c r="K78" s="22" t="str">
        <f t="shared" si="3"/>
        <v>UNDER 158.5</v>
      </c>
      <c r="L78" s="20">
        <f t="shared" si="4"/>
        <v>2</v>
      </c>
    </row>
    <row r="79">
      <c r="A79" s="17" t="s">
        <v>446</v>
      </c>
      <c r="B79" s="18">
        <v>11.0</v>
      </c>
      <c r="C79" s="18">
        <v>12.5</v>
      </c>
      <c r="D79" s="17" t="s">
        <v>447</v>
      </c>
      <c r="E79" s="18">
        <v>-11.0</v>
      </c>
      <c r="F79" s="18">
        <v>-12.5</v>
      </c>
      <c r="G79" s="18">
        <v>145.5</v>
      </c>
      <c r="H79" s="18">
        <v>140.5</v>
      </c>
      <c r="I79" s="21" t="str">
        <f t="shared" si="1"/>
        <v>STONY BROOK (+12.5)</v>
      </c>
      <c r="J79" s="20">
        <f t="shared" si="2"/>
        <v>1.5</v>
      </c>
      <c r="K79" s="22" t="str">
        <f t="shared" si="3"/>
        <v>OVER 140.5</v>
      </c>
      <c r="L79" s="20">
        <f t="shared" si="4"/>
        <v>5</v>
      </c>
    </row>
    <row r="80">
      <c r="A80" s="17" t="s">
        <v>448</v>
      </c>
      <c r="B80" s="18">
        <v>-4.0</v>
      </c>
      <c r="C80" s="18">
        <v>-7.0</v>
      </c>
      <c r="D80" s="17" t="s">
        <v>449</v>
      </c>
      <c r="E80" s="18">
        <v>4.0</v>
      </c>
      <c r="F80" s="18">
        <v>7.0</v>
      </c>
      <c r="G80" s="18">
        <v>150.0</v>
      </c>
      <c r="H80" s="18">
        <v>148.5</v>
      </c>
      <c r="I80" s="21" t="str">
        <f t="shared" si="1"/>
        <v>FRESNO STATE (+7)</v>
      </c>
      <c r="J80" s="20">
        <f t="shared" ref="J80:J100" si="5">ABS(B80-C80)</f>
        <v>3</v>
      </c>
      <c r="K80" s="22" t="str">
        <f t="shared" si="3"/>
        <v>OVER 148.5</v>
      </c>
      <c r="L80" s="20">
        <f t="shared" si="4"/>
        <v>1.5</v>
      </c>
    </row>
    <row r="81">
      <c r="A81" s="17" t="s">
        <v>450</v>
      </c>
      <c r="B81" s="18">
        <v>-7.0</v>
      </c>
      <c r="C81" s="18">
        <v>-8.0</v>
      </c>
      <c r="D81" s="17" t="s">
        <v>451</v>
      </c>
      <c r="E81" s="18">
        <v>7.0</v>
      </c>
      <c r="F81" s="18">
        <v>8.0</v>
      </c>
      <c r="G81" s="18">
        <v>156.5</v>
      </c>
      <c r="H81" s="18">
        <v>160.5</v>
      </c>
      <c r="I81" s="21" t="str">
        <f t="shared" si="1"/>
        <v>PEPPERDINE (+8)</v>
      </c>
      <c r="J81" s="20">
        <f t="shared" si="5"/>
        <v>1</v>
      </c>
      <c r="K81" s="22" t="str">
        <f t="shared" si="3"/>
        <v>UNDER 160.5</v>
      </c>
      <c r="L81" s="20">
        <f t="shared" si="4"/>
        <v>4</v>
      </c>
    </row>
    <row r="82">
      <c r="A82" s="17" t="s">
        <v>452</v>
      </c>
      <c r="B82" s="18">
        <v>-3.5</v>
      </c>
      <c r="C82" s="18">
        <v>-3.0</v>
      </c>
      <c r="D82" s="17" t="s">
        <v>250</v>
      </c>
      <c r="E82" s="18">
        <v>3.5</v>
      </c>
      <c r="F82" s="18">
        <v>3.0</v>
      </c>
      <c r="G82" s="18">
        <v>151.5</v>
      </c>
      <c r="H82" s="18">
        <v>149.5</v>
      </c>
      <c r="I82" s="21" t="str">
        <f t="shared" si="1"/>
        <v>ORAL ROBERTS (-3)</v>
      </c>
      <c r="J82" s="20">
        <f t="shared" si="5"/>
        <v>0.5</v>
      </c>
      <c r="K82" s="22" t="str">
        <f t="shared" si="3"/>
        <v>OVER 149.5</v>
      </c>
      <c r="L82" s="20">
        <f t="shared" si="4"/>
        <v>2</v>
      </c>
    </row>
    <row r="83">
      <c r="A83" s="17" t="s">
        <v>453</v>
      </c>
      <c r="B83" s="18">
        <v>8.0</v>
      </c>
      <c r="C83" s="18">
        <v>11.5</v>
      </c>
      <c r="D83" s="17" t="s">
        <v>454</v>
      </c>
      <c r="E83" s="18">
        <v>-8.0</v>
      </c>
      <c r="F83" s="18">
        <v>-11.5</v>
      </c>
      <c r="G83" s="18">
        <v>159.5</v>
      </c>
      <c r="H83" s="18">
        <v>159.0</v>
      </c>
      <c r="I83" s="21" t="str">
        <f t="shared" si="1"/>
        <v>NEBRASKA OMAHA (+11.5)</v>
      </c>
      <c r="J83" s="20">
        <f t="shared" si="5"/>
        <v>3.5</v>
      </c>
      <c r="K83" s="22" t="str">
        <f t="shared" si="3"/>
        <v>OVER 159</v>
      </c>
      <c r="L83" s="20">
        <f t="shared" si="4"/>
        <v>0.5</v>
      </c>
    </row>
    <row r="84">
      <c r="A84" s="17" t="s">
        <v>455</v>
      </c>
      <c r="B84" s="18">
        <v>13.0</v>
      </c>
      <c r="C84" s="18">
        <v>17.0</v>
      </c>
      <c r="D84" s="17" t="s">
        <v>456</v>
      </c>
      <c r="E84" s="18">
        <v>-13.0</v>
      </c>
      <c r="F84" s="18">
        <v>-17.0</v>
      </c>
      <c r="G84" s="18">
        <v>157.5</v>
      </c>
      <c r="H84" s="18">
        <v>153.5</v>
      </c>
      <c r="I84" s="21" t="str">
        <f t="shared" si="1"/>
        <v>OREGON STATE (+17)</v>
      </c>
      <c r="J84" s="20">
        <f t="shared" si="5"/>
        <v>4</v>
      </c>
      <c r="K84" s="22" t="str">
        <f t="shared" si="3"/>
        <v>OVER 153.5</v>
      </c>
      <c r="L84" s="20">
        <f t="shared" si="4"/>
        <v>4</v>
      </c>
    </row>
    <row r="85">
      <c r="A85" s="17" t="s">
        <v>457</v>
      </c>
      <c r="B85" s="18">
        <v>2.0</v>
      </c>
      <c r="C85" s="18">
        <v>2.0</v>
      </c>
      <c r="D85" s="17" t="s">
        <v>458</v>
      </c>
      <c r="E85" s="18">
        <v>-2.0</v>
      </c>
      <c r="F85" s="18">
        <v>-2.0</v>
      </c>
      <c r="G85" s="18">
        <v>160.5</v>
      </c>
      <c r="H85" s="18">
        <v>159.5</v>
      </c>
      <c r="I85" s="21" t="str">
        <f t="shared" si="1"/>
        <v>PASS</v>
      </c>
      <c r="J85" s="20">
        <f t="shared" si="5"/>
        <v>0</v>
      </c>
      <c r="K85" s="22" t="str">
        <f t="shared" si="3"/>
        <v>OVER 159.5</v>
      </c>
      <c r="L85" s="20">
        <f t="shared" si="4"/>
        <v>1</v>
      </c>
    </row>
    <row r="86">
      <c r="A86" s="17" t="s">
        <v>459</v>
      </c>
      <c r="B86" s="18">
        <v>-2.0</v>
      </c>
      <c r="C86" s="18">
        <v>-5.5</v>
      </c>
      <c r="D86" s="17" t="s">
        <v>460</v>
      </c>
      <c r="E86" s="18">
        <v>2.0</v>
      </c>
      <c r="F86" s="18">
        <v>5.5</v>
      </c>
      <c r="G86" s="18">
        <v>160.5</v>
      </c>
      <c r="H86" s="18">
        <v>158.0</v>
      </c>
      <c r="I86" s="21" t="str">
        <f t="shared" si="1"/>
        <v>UC RIVERSIDE (+5.5)</v>
      </c>
      <c r="J86" s="20">
        <f t="shared" si="5"/>
        <v>3.5</v>
      </c>
      <c r="K86" s="22" t="str">
        <f t="shared" si="3"/>
        <v>OVER 158</v>
      </c>
      <c r="L86" s="20">
        <f t="shared" si="4"/>
        <v>2.5</v>
      </c>
    </row>
    <row r="87">
      <c r="A87" s="17" t="s">
        <v>461</v>
      </c>
      <c r="B87" s="18">
        <v>4.5</v>
      </c>
      <c r="C87" s="18">
        <v>7.5</v>
      </c>
      <c r="D87" s="17" t="s">
        <v>462</v>
      </c>
      <c r="E87" s="18">
        <v>-4.5</v>
      </c>
      <c r="F87" s="18">
        <v>-7.5</v>
      </c>
      <c r="G87" s="18">
        <v>151.5</v>
      </c>
      <c r="H87" s="18">
        <v>147.5</v>
      </c>
      <c r="I87" s="21" t="str">
        <f t="shared" si="1"/>
        <v>VILLANOVA (+7.5)</v>
      </c>
      <c r="J87" s="20">
        <f t="shared" si="5"/>
        <v>3</v>
      </c>
      <c r="K87" s="22" t="str">
        <f t="shared" si="3"/>
        <v>OVER 147.5</v>
      </c>
      <c r="L87" s="20">
        <f t="shared" si="4"/>
        <v>4</v>
      </c>
    </row>
    <row r="88">
      <c r="A88" s="17" t="s">
        <v>463</v>
      </c>
      <c r="B88" s="18">
        <v>17.0</v>
      </c>
      <c r="C88" s="18">
        <v>14.0</v>
      </c>
      <c r="D88" s="17" t="s">
        <v>464</v>
      </c>
      <c r="E88" s="18">
        <v>-17.0</v>
      </c>
      <c r="F88" s="18">
        <v>-14.0</v>
      </c>
      <c r="G88" s="18">
        <v>159.0</v>
      </c>
      <c r="H88" s="18">
        <v>160.0</v>
      </c>
      <c r="I88" s="21" t="str">
        <f t="shared" si="1"/>
        <v>SAINT LOUIS (-14)</v>
      </c>
      <c r="J88" s="20">
        <f t="shared" si="5"/>
        <v>3</v>
      </c>
      <c r="K88" s="22" t="str">
        <f t="shared" si="3"/>
        <v>UNDER 160</v>
      </c>
      <c r="L88" s="20">
        <f t="shared" si="4"/>
        <v>1</v>
      </c>
    </row>
    <row r="89">
      <c r="A89" s="17" t="s">
        <v>465</v>
      </c>
      <c r="B89" s="18">
        <v>12.5</v>
      </c>
      <c r="C89" s="18">
        <v>10.0</v>
      </c>
      <c r="D89" s="17" t="s">
        <v>466</v>
      </c>
      <c r="E89" s="18">
        <v>-12.5</v>
      </c>
      <c r="F89" s="18">
        <v>-10.0</v>
      </c>
      <c r="G89" s="18">
        <v>154.5</v>
      </c>
      <c r="H89" s="18">
        <v>153.5</v>
      </c>
      <c r="I89" s="21" t="str">
        <f t="shared" si="1"/>
        <v>AUBURN (-10)</v>
      </c>
      <c r="J89" s="20">
        <f t="shared" si="5"/>
        <v>2.5</v>
      </c>
      <c r="K89" s="22" t="str">
        <f t="shared" si="3"/>
        <v>OVER 153.5</v>
      </c>
      <c r="L89" s="20">
        <f t="shared" si="4"/>
        <v>1</v>
      </c>
    </row>
    <row r="90">
      <c r="A90" s="17" t="s">
        <v>467</v>
      </c>
      <c r="B90" s="18">
        <v>8.0</v>
      </c>
      <c r="C90" s="18">
        <v>10.0</v>
      </c>
      <c r="D90" s="17" t="s">
        <v>468</v>
      </c>
      <c r="E90" s="18">
        <v>-8.0</v>
      </c>
      <c r="F90" s="18">
        <v>-10.0</v>
      </c>
      <c r="G90" s="18">
        <v>163.5</v>
      </c>
      <c r="H90" s="18">
        <v>170.5</v>
      </c>
      <c r="I90" s="21" t="str">
        <f t="shared" si="1"/>
        <v>ARKANSAS (+10)</v>
      </c>
      <c r="J90" s="20">
        <f t="shared" si="5"/>
        <v>2</v>
      </c>
      <c r="K90" s="22" t="str">
        <f t="shared" si="3"/>
        <v>UNDER 170.5</v>
      </c>
      <c r="L90" s="20">
        <f t="shared" si="4"/>
        <v>7</v>
      </c>
    </row>
    <row r="91">
      <c r="A91" s="17" t="s">
        <v>469</v>
      </c>
      <c r="B91" s="18">
        <v>-0.5</v>
      </c>
      <c r="C91" s="18">
        <v>-1.5</v>
      </c>
      <c r="D91" s="17" t="s">
        <v>470</v>
      </c>
      <c r="E91" s="18">
        <v>0.5</v>
      </c>
      <c r="F91" s="18">
        <v>1.5</v>
      </c>
      <c r="G91" s="18">
        <v>152.5</v>
      </c>
      <c r="H91" s="18">
        <v>156.5</v>
      </c>
      <c r="I91" s="21" t="str">
        <f t="shared" si="1"/>
        <v>SOUTHERN UTAH (+1.5)</v>
      </c>
      <c r="J91" s="20">
        <f t="shared" si="5"/>
        <v>1</v>
      </c>
      <c r="K91" s="22" t="str">
        <f t="shared" si="3"/>
        <v>UNDER 156.5</v>
      </c>
      <c r="L91" s="20">
        <f t="shared" si="4"/>
        <v>4</v>
      </c>
    </row>
    <row r="92">
      <c r="A92" s="17" t="s">
        <v>471</v>
      </c>
      <c r="B92" s="18">
        <v>4.5</v>
      </c>
      <c r="C92" s="18">
        <v>6.5</v>
      </c>
      <c r="D92" s="17" t="s">
        <v>472</v>
      </c>
      <c r="E92" s="18">
        <v>-4.5</v>
      </c>
      <c r="F92" s="18">
        <v>-6.5</v>
      </c>
      <c r="G92" s="18">
        <v>153.5</v>
      </c>
      <c r="H92" s="18">
        <v>150.0</v>
      </c>
      <c r="I92" s="21" t="str">
        <f t="shared" si="1"/>
        <v>VIRGINIA TECH (+6.5)</v>
      </c>
      <c r="J92" s="20">
        <f t="shared" si="5"/>
        <v>2</v>
      </c>
      <c r="K92" s="22" t="str">
        <f t="shared" si="3"/>
        <v>OVER 150</v>
      </c>
      <c r="L92" s="20">
        <f t="shared" si="4"/>
        <v>3.5</v>
      </c>
    </row>
    <row r="93">
      <c r="A93" s="17" t="s">
        <v>473</v>
      </c>
      <c r="B93" s="18">
        <v>8.0</v>
      </c>
      <c r="C93" s="18">
        <v>6.5</v>
      </c>
      <c r="D93" s="17" t="s">
        <v>474</v>
      </c>
      <c r="E93" s="18">
        <v>-8.0</v>
      </c>
      <c r="F93" s="18">
        <v>-6.5</v>
      </c>
      <c r="G93" s="18">
        <v>138.0</v>
      </c>
      <c r="H93" s="18">
        <v>138.0</v>
      </c>
      <c r="I93" s="21" t="str">
        <f t="shared" si="1"/>
        <v>CALIFORNIA BAPTIST (-6.5)</v>
      </c>
      <c r="J93" s="20">
        <f t="shared" si="5"/>
        <v>1.5</v>
      </c>
      <c r="K93" s="22" t="str">
        <f t="shared" si="3"/>
        <v>PASS</v>
      </c>
      <c r="L93" s="20">
        <f t="shared" si="4"/>
        <v>0</v>
      </c>
    </row>
    <row r="94">
      <c r="A94" s="17" t="s">
        <v>475</v>
      </c>
      <c r="B94" s="18">
        <v>1.0</v>
      </c>
      <c r="C94" s="18">
        <v>1.0</v>
      </c>
      <c r="D94" s="17" t="s">
        <v>476</v>
      </c>
      <c r="E94" s="18">
        <v>-1.0</v>
      </c>
      <c r="F94" s="18">
        <v>-1.0</v>
      </c>
      <c r="G94" s="18">
        <v>139.5</v>
      </c>
      <c r="H94" s="18">
        <v>136.0</v>
      </c>
      <c r="I94" s="21" t="str">
        <f t="shared" si="1"/>
        <v>PASS</v>
      </c>
      <c r="J94" s="20">
        <f t="shared" si="5"/>
        <v>0</v>
      </c>
      <c r="K94" s="22" t="str">
        <f t="shared" si="3"/>
        <v>OVER 136</v>
      </c>
      <c r="L94" s="20">
        <f t="shared" si="4"/>
        <v>3.5</v>
      </c>
    </row>
    <row r="95">
      <c r="A95" s="17" t="s">
        <v>477</v>
      </c>
      <c r="B95" s="18">
        <v>-6.5</v>
      </c>
      <c r="C95" s="18">
        <v>-3.0</v>
      </c>
      <c r="D95" s="17" t="s">
        <v>478</v>
      </c>
      <c r="E95" s="18">
        <v>6.5</v>
      </c>
      <c r="F95" s="18">
        <v>3.0</v>
      </c>
      <c r="G95" s="18">
        <v>155.0</v>
      </c>
      <c r="H95" s="18">
        <v>153.0</v>
      </c>
      <c r="I95" s="21" t="str">
        <f t="shared" si="1"/>
        <v>LONG BEACH STATE (-3)</v>
      </c>
      <c r="J95" s="20">
        <f t="shared" si="5"/>
        <v>3.5</v>
      </c>
      <c r="K95" s="22" t="str">
        <f t="shared" si="3"/>
        <v>OVER 153</v>
      </c>
      <c r="L95" s="20">
        <f t="shared" si="4"/>
        <v>2</v>
      </c>
    </row>
    <row r="96">
      <c r="A96" s="17" t="s">
        <v>479</v>
      </c>
      <c r="B96" s="18">
        <v>-2.0</v>
      </c>
      <c r="C96" s="18">
        <v>-1.0</v>
      </c>
      <c r="D96" s="17" t="s">
        <v>215</v>
      </c>
      <c r="E96" s="18">
        <v>2.0</v>
      </c>
      <c r="F96" s="18">
        <v>1.0</v>
      </c>
      <c r="G96" s="18">
        <v>153.5</v>
      </c>
      <c r="H96" s="18">
        <v>150.5</v>
      </c>
      <c r="I96" s="21" t="str">
        <f t="shared" si="1"/>
        <v>NEVADA (-1)</v>
      </c>
      <c r="J96" s="20">
        <f t="shared" si="5"/>
        <v>1</v>
      </c>
      <c r="K96" s="22" t="str">
        <f t="shared" si="3"/>
        <v>OVER 150.5</v>
      </c>
      <c r="L96" s="20">
        <f t="shared" si="4"/>
        <v>3</v>
      </c>
    </row>
    <row r="97">
      <c r="A97" s="17" t="s">
        <v>480</v>
      </c>
      <c r="B97" s="18">
        <v>9.5</v>
      </c>
      <c r="C97" s="18">
        <v>10.0</v>
      </c>
      <c r="D97" s="17" t="s">
        <v>481</v>
      </c>
      <c r="E97" s="18">
        <v>-9.5</v>
      </c>
      <c r="F97" s="18">
        <v>-10.0</v>
      </c>
      <c r="G97" s="18">
        <v>151.5</v>
      </c>
      <c r="H97" s="18">
        <v>148.5</v>
      </c>
      <c r="I97" s="21" t="str">
        <f t="shared" si="1"/>
        <v>GRAND CANYON (+10)</v>
      </c>
      <c r="J97" s="20">
        <f t="shared" si="5"/>
        <v>0.5</v>
      </c>
      <c r="K97" s="22" t="str">
        <f t="shared" si="3"/>
        <v>OVER 148.5</v>
      </c>
      <c r="L97" s="20">
        <f t="shared" si="4"/>
        <v>3</v>
      </c>
    </row>
    <row r="98">
      <c r="A98" s="17" t="s">
        <v>482</v>
      </c>
      <c r="B98" s="18">
        <v>8.0</v>
      </c>
      <c r="C98" s="18">
        <v>6.5</v>
      </c>
      <c r="D98" s="17" t="s">
        <v>483</v>
      </c>
      <c r="E98" s="18">
        <v>-8.0</v>
      </c>
      <c r="F98" s="18">
        <v>-6.5</v>
      </c>
      <c r="G98" s="18">
        <v>158.5</v>
      </c>
      <c r="H98" s="18">
        <v>162.0</v>
      </c>
      <c r="I98" s="21" t="str">
        <f t="shared" si="1"/>
        <v>UC SAN DIEGO (-6.5)</v>
      </c>
      <c r="J98" s="20">
        <f t="shared" si="5"/>
        <v>1.5</v>
      </c>
      <c r="K98" s="22" t="str">
        <f t="shared" si="3"/>
        <v>UNDER 162</v>
      </c>
      <c r="L98" s="20">
        <f t="shared" si="4"/>
        <v>3.5</v>
      </c>
    </row>
    <row r="99">
      <c r="A99" s="17" t="s">
        <v>484</v>
      </c>
      <c r="B99" s="18">
        <v>3.0</v>
      </c>
      <c r="C99" s="18">
        <v>4.0</v>
      </c>
      <c r="D99" s="17" t="s">
        <v>485</v>
      </c>
      <c r="E99" s="18">
        <v>-3.0</v>
      </c>
      <c r="F99" s="18">
        <v>-4.0</v>
      </c>
      <c r="G99" s="18">
        <v>139.0</v>
      </c>
      <c r="H99" s="18">
        <v>139.5</v>
      </c>
      <c r="I99" s="21" t="str">
        <f t="shared" si="1"/>
        <v>UC SANTA BARBARA (+4)</v>
      </c>
      <c r="J99" s="20">
        <f t="shared" si="5"/>
        <v>1</v>
      </c>
      <c r="K99" s="22" t="str">
        <f t="shared" si="3"/>
        <v>UNDER 139.5</v>
      </c>
      <c r="L99" s="20">
        <f t="shared" si="4"/>
        <v>0.5</v>
      </c>
    </row>
    <row r="100">
      <c r="A100" s="17" t="s">
        <v>486</v>
      </c>
      <c r="B100" s="18">
        <v>-3.0</v>
      </c>
      <c r="C100" s="18">
        <v>-2.0</v>
      </c>
      <c r="D100" s="17" t="s">
        <v>487</v>
      </c>
      <c r="E100" s="18">
        <v>3.0</v>
      </c>
      <c r="F100" s="18">
        <v>2.0</v>
      </c>
      <c r="G100" s="18">
        <v>148.5</v>
      </c>
      <c r="H100" s="18">
        <v>143.0</v>
      </c>
      <c r="I100" s="21" t="str">
        <f t="shared" si="1"/>
        <v>GONZAGA (-2)</v>
      </c>
      <c r="J100" s="20">
        <f t="shared" si="5"/>
        <v>1</v>
      </c>
      <c r="K100" s="22" t="str">
        <f t="shared" si="3"/>
        <v>OVER 143</v>
      </c>
      <c r="L100" s="20">
        <f t="shared" si="4"/>
        <v>5.5</v>
      </c>
    </row>
  </sheetData>
  <conditionalFormatting sqref="J1:J100">
    <cfRule type="colorScale" priority="1">
      <colorScale>
        <cfvo type="min"/>
        <cfvo type="max"/>
        <color rgb="FFEFEFEF"/>
        <color rgb="FF00FF00"/>
      </colorScale>
    </cfRule>
  </conditionalFormatting>
  <conditionalFormatting sqref="L2:L100">
    <cfRule type="colorScale" priority="2">
      <colorScale>
        <cfvo type="min"/>
        <cfvo type="percentile" val="50"/>
        <cfvo type="max"/>
        <color rgb="FFFFFFFF"/>
        <color rgb="FFD9EAD3"/>
        <color rgb="FF00FF00"/>
      </colorScale>
    </cfRule>
  </conditionalFormatting>
  <conditionalFormatting sqref="I1:I100">
    <cfRule type="containsText" dxfId="0" priority="3" operator="containsText" text="PASS">
      <formula>NOT(ISERROR(SEARCH(("PASS"),(I1))))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88"/>
    <col customWidth="1" min="4" max="4" width="21.25"/>
    <col customWidth="1" min="5" max="5" width="20.5"/>
    <col customWidth="1" min="6" max="6" width="24.0"/>
    <col customWidth="1" min="7" max="14" width="27.88"/>
  </cols>
  <sheetData>
    <row r="1">
      <c r="A1" s="23" t="s">
        <v>488</v>
      </c>
      <c r="B1" s="23" t="s">
        <v>489</v>
      </c>
      <c r="C1" s="23" t="s">
        <v>490</v>
      </c>
      <c r="D1" s="23" t="s">
        <v>491</v>
      </c>
      <c r="E1" s="23" t="s">
        <v>492</v>
      </c>
      <c r="F1" s="23" t="s">
        <v>493</v>
      </c>
      <c r="G1" s="23" t="s">
        <v>494</v>
      </c>
      <c r="H1" s="23" t="s">
        <v>495</v>
      </c>
      <c r="I1" s="23" t="s">
        <v>496</v>
      </c>
      <c r="J1" s="23" t="s">
        <v>497</v>
      </c>
      <c r="K1" s="23" t="s">
        <v>498</v>
      </c>
      <c r="L1" s="23" t="s">
        <v>499</v>
      </c>
      <c r="M1" s="23" t="s">
        <v>500</v>
      </c>
      <c r="N1" s="23" t="s">
        <v>501</v>
      </c>
    </row>
    <row r="2">
      <c r="A2" s="24" t="s">
        <v>502</v>
      </c>
      <c r="B2" s="25" t="s">
        <v>503</v>
      </c>
      <c r="C2" s="17" t="s">
        <v>504</v>
      </c>
      <c r="D2" s="18">
        <v>4.5</v>
      </c>
      <c r="E2" s="17">
        <v>1.5</v>
      </c>
      <c r="F2" s="18" t="s">
        <v>505</v>
      </c>
      <c r="G2" s="17">
        <v>-4.5</v>
      </c>
      <c r="H2" s="18">
        <v>-1.5</v>
      </c>
      <c r="I2" s="18">
        <v>141.0</v>
      </c>
      <c r="J2" s="18">
        <v>142.5</v>
      </c>
      <c r="K2" s="21" t="str">
        <f t="shared" ref="K2:K24" si="1">IF(L2=0,"PASS",IF(IF(G2="pk",0,G2)&gt;IF(H2="pk",0,H2),F2&amp;" ("&amp;IF(G2="pk","pk",IF(G2=INT(G2),TEXT(G2,"+0;-0"),TEXT(G2,"+0.0;-0.0")))&amp;")",C2&amp;" ("&amp;IF(D2="pk","pk",IF(D2=INT(D2),TEXT(D2,"+0;-0"),TEXT(D2,"+0.0;-0.0")))&amp;")"))</f>
        <v>north_texas (+4.5)</v>
      </c>
      <c r="L2" s="21">
        <f t="shared" ref="L2:L24" si="2">ABS(E2-D2)</f>
        <v>3</v>
      </c>
      <c r="M2" s="22" t="str">
        <f t="shared" ref="M2:M24" si="3">IF(N2=0,"PASS",IF(J2&gt;I2,"OVER "&amp;I2,IF(J2&lt;I2,"UNDER "&amp;I2,"0")))</f>
        <v>OVER 141</v>
      </c>
      <c r="N2" s="21">
        <f t="shared" ref="N2:N24" si="4">ABS(J2-I2)</f>
        <v>1.5</v>
      </c>
    </row>
    <row r="3">
      <c r="A3" s="24" t="s">
        <v>502</v>
      </c>
      <c r="B3" s="25" t="s">
        <v>503</v>
      </c>
      <c r="C3" s="17" t="s">
        <v>506</v>
      </c>
      <c r="D3" s="18">
        <v>4.5</v>
      </c>
      <c r="E3" s="17">
        <v>6.0</v>
      </c>
      <c r="F3" s="18" t="s">
        <v>507</v>
      </c>
      <c r="G3" s="17">
        <v>-4.5</v>
      </c>
      <c r="H3" s="18">
        <v>-6.0</v>
      </c>
      <c r="I3" s="18">
        <v>141.5</v>
      </c>
      <c r="J3" s="18">
        <v>144.5</v>
      </c>
      <c r="K3" s="21" t="str">
        <f t="shared" si="1"/>
        <v>maryland (-4.5)</v>
      </c>
      <c r="L3" s="21">
        <f t="shared" si="2"/>
        <v>1.5</v>
      </c>
      <c r="M3" s="22" t="str">
        <f t="shared" si="3"/>
        <v>OVER 141.5</v>
      </c>
      <c r="N3" s="21">
        <f t="shared" si="4"/>
        <v>3</v>
      </c>
    </row>
    <row r="4">
      <c r="A4" s="24" t="s">
        <v>502</v>
      </c>
      <c r="B4" s="25" t="s">
        <v>503</v>
      </c>
      <c r="C4" s="17" t="s">
        <v>508</v>
      </c>
      <c r="D4" s="18">
        <v>14.5</v>
      </c>
      <c r="E4" s="17">
        <v>16.0</v>
      </c>
      <c r="F4" s="18" t="s">
        <v>509</v>
      </c>
      <c r="G4" s="17">
        <v>-14.5</v>
      </c>
      <c r="H4" s="18">
        <v>-16.0</v>
      </c>
      <c r="I4" s="18">
        <v>155.5</v>
      </c>
      <c r="J4" s="18">
        <v>151.5</v>
      </c>
      <c r="K4" s="21" t="str">
        <f t="shared" si="1"/>
        <v>south_florida (-14.5)</v>
      </c>
      <c r="L4" s="21">
        <f t="shared" si="2"/>
        <v>1.5</v>
      </c>
      <c r="M4" s="22" t="str">
        <f t="shared" si="3"/>
        <v>UNDER 155.5</v>
      </c>
      <c r="N4" s="21">
        <f t="shared" si="4"/>
        <v>4</v>
      </c>
    </row>
    <row r="5">
      <c r="A5" s="24" t="s">
        <v>502</v>
      </c>
      <c r="B5" s="25" t="s">
        <v>503</v>
      </c>
      <c r="C5" s="17" t="s">
        <v>510</v>
      </c>
      <c r="D5" s="18">
        <v>11.0</v>
      </c>
      <c r="E5" s="17">
        <v>10.0</v>
      </c>
      <c r="F5" s="18" t="s">
        <v>511</v>
      </c>
      <c r="G5" s="17">
        <v>-11.0</v>
      </c>
      <c r="H5" s="18">
        <v>-10.0</v>
      </c>
      <c r="I5" s="18">
        <v>134.5</v>
      </c>
      <c r="J5" s="18">
        <v>138.5</v>
      </c>
      <c r="K5" s="21" t="str">
        <f t="shared" si="1"/>
        <v>la_salle (+11)</v>
      </c>
      <c r="L5" s="21">
        <f t="shared" si="2"/>
        <v>1</v>
      </c>
      <c r="M5" s="22" t="str">
        <f t="shared" si="3"/>
        <v>OVER 134.5</v>
      </c>
      <c r="N5" s="21">
        <f t="shared" si="4"/>
        <v>4</v>
      </c>
    </row>
    <row r="6">
      <c r="A6" s="24" t="s">
        <v>502</v>
      </c>
      <c r="B6" s="25" t="s">
        <v>512</v>
      </c>
      <c r="C6" s="17" t="s">
        <v>513</v>
      </c>
      <c r="D6" s="18">
        <v>-3.5</v>
      </c>
      <c r="E6" s="17">
        <v>-4.5</v>
      </c>
      <c r="F6" s="18" t="s">
        <v>514</v>
      </c>
      <c r="G6" s="17">
        <v>3.5</v>
      </c>
      <c r="H6" s="18">
        <v>4.5</v>
      </c>
      <c r="I6" s="18">
        <v>143.0</v>
      </c>
      <c r="J6" s="18">
        <v>146.5</v>
      </c>
      <c r="K6" s="21" t="str">
        <f t="shared" si="1"/>
        <v>illinois_chicago (-3.5)</v>
      </c>
      <c r="L6" s="21">
        <f t="shared" si="2"/>
        <v>1</v>
      </c>
      <c r="M6" s="22" t="str">
        <f t="shared" si="3"/>
        <v>OVER 143</v>
      </c>
      <c r="N6" s="21">
        <f t="shared" si="4"/>
        <v>3.5</v>
      </c>
    </row>
    <row r="7">
      <c r="A7" s="24" t="s">
        <v>502</v>
      </c>
      <c r="B7" s="25" t="s">
        <v>512</v>
      </c>
      <c r="C7" s="17" t="s">
        <v>515</v>
      </c>
      <c r="D7" s="18">
        <v>-7.0</v>
      </c>
      <c r="E7" s="17">
        <v>-7.0</v>
      </c>
      <c r="F7" s="18" t="s">
        <v>516</v>
      </c>
      <c r="G7" s="17">
        <v>7.0</v>
      </c>
      <c r="H7" s="18">
        <v>7.0</v>
      </c>
      <c r="I7" s="18">
        <v>138.0</v>
      </c>
      <c r="J7" s="18">
        <v>141.5</v>
      </c>
      <c r="K7" s="21" t="str">
        <f t="shared" si="1"/>
        <v>PASS</v>
      </c>
      <c r="L7" s="21">
        <f t="shared" si="2"/>
        <v>0</v>
      </c>
      <c r="M7" s="22" t="str">
        <f t="shared" si="3"/>
        <v>OVER 138</v>
      </c>
      <c r="N7" s="21">
        <f t="shared" si="4"/>
        <v>3.5</v>
      </c>
    </row>
    <row r="8">
      <c r="A8" s="24" t="s">
        <v>502</v>
      </c>
      <c r="B8" s="25" t="s">
        <v>517</v>
      </c>
      <c r="C8" s="17" t="s">
        <v>518</v>
      </c>
      <c r="D8" s="18">
        <v>-7.5</v>
      </c>
      <c r="E8" s="17">
        <v>-3.5</v>
      </c>
      <c r="F8" s="18" t="s">
        <v>519</v>
      </c>
      <c r="G8" s="17">
        <v>7.5</v>
      </c>
      <c r="H8" s="18">
        <v>3.5</v>
      </c>
      <c r="I8" s="18">
        <v>150.5</v>
      </c>
      <c r="J8" s="18">
        <v>153.5</v>
      </c>
      <c r="K8" s="21" t="str">
        <f t="shared" si="1"/>
        <v>ohio_state (+7.5)</v>
      </c>
      <c r="L8" s="21">
        <f t="shared" si="2"/>
        <v>4</v>
      </c>
      <c r="M8" s="22" t="str">
        <f t="shared" si="3"/>
        <v>OVER 150.5</v>
      </c>
      <c r="N8" s="21">
        <f t="shared" si="4"/>
        <v>3</v>
      </c>
    </row>
    <row r="9">
      <c r="A9" s="24" t="s">
        <v>502</v>
      </c>
      <c r="B9" s="25" t="s">
        <v>520</v>
      </c>
      <c r="C9" s="17" t="s">
        <v>521</v>
      </c>
      <c r="D9" s="18">
        <v>7.0</v>
      </c>
      <c r="E9" s="17">
        <v>9.0</v>
      </c>
      <c r="F9" s="18" t="s">
        <v>522</v>
      </c>
      <c r="G9" s="17">
        <v>-7.0</v>
      </c>
      <c r="H9" s="18">
        <v>-9.0</v>
      </c>
      <c r="I9" s="18">
        <v>142.0</v>
      </c>
      <c r="J9" s="18">
        <v>146.5</v>
      </c>
      <c r="K9" s="21" t="str">
        <f t="shared" si="1"/>
        <v>temple (-7)</v>
      </c>
      <c r="L9" s="21">
        <f t="shared" si="2"/>
        <v>2</v>
      </c>
      <c r="M9" s="22" t="str">
        <f t="shared" si="3"/>
        <v>OVER 142</v>
      </c>
      <c r="N9" s="21">
        <f t="shared" si="4"/>
        <v>4.5</v>
      </c>
    </row>
    <row r="10">
      <c r="A10" s="24" t="s">
        <v>502</v>
      </c>
      <c r="B10" s="25" t="s">
        <v>520</v>
      </c>
      <c r="C10" s="17" t="s">
        <v>523</v>
      </c>
      <c r="D10" s="18">
        <v>4.5</v>
      </c>
      <c r="E10" s="17">
        <v>7.0</v>
      </c>
      <c r="F10" s="18" t="s">
        <v>524</v>
      </c>
      <c r="G10" s="17">
        <v>-4.5</v>
      </c>
      <c r="H10" s="18">
        <v>-7.0</v>
      </c>
      <c r="I10" s="18">
        <v>145.0</v>
      </c>
      <c r="J10" s="18">
        <v>145.5</v>
      </c>
      <c r="K10" s="21" t="str">
        <f t="shared" si="1"/>
        <v>fairfield (-4.5)</v>
      </c>
      <c r="L10" s="21">
        <f t="shared" si="2"/>
        <v>2.5</v>
      </c>
      <c r="M10" s="22" t="str">
        <f t="shared" si="3"/>
        <v>OVER 145</v>
      </c>
      <c r="N10" s="21">
        <f t="shared" si="4"/>
        <v>0.5</v>
      </c>
    </row>
    <row r="11">
      <c r="A11" s="24" t="s">
        <v>502</v>
      </c>
      <c r="B11" s="25" t="s">
        <v>520</v>
      </c>
      <c r="C11" s="17" t="s">
        <v>525</v>
      </c>
      <c r="D11" s="18">
        <v>-2.0</v>
      </c>
      <c r="E11" s="17">
        <v>-1.5</v>
      </c>
      <c r="F11" s="18" t="s">
        <v>526</v>
      </c>
      <c r="G11" s="17">
        <v>2.0</v>
      </c>
      <c r="H11" s="18">
        <v>1.5</v>
      </c>
      <c r="I11" s="18">
        <v>151.0</v>
      </c>
      <c r="J11" s="18">
        <v>150.5</v>
      </c>
      <c r="K11" s="21" t="str">
        <f t="shared" si="1"/>
        <v>manhattan (+2)</v>
      </c>
      <c r="L11" s="21">
        <f t="shared" si="2"/>
        <v>0.5</v>
      </c>
      <c r="M11" s="22" t="str">
        <f t="shared" si="3"/>
        <v>UNDER 151</v>
      </c>
      <c r="N11" s="21">
        <f t="shared" si="4"/>
        <v>0.5</v>
      </c>
    </row>
    <row r="12">
      <c r="A12" s="24" t="s">
        <v>502</v>
      </c>
      <c r="B12" s="25" t="s">
        <v>520</v>
      </c>
      <c r="C12" s="17" t="s">
        <v>527</v>
      </c>
      <c r="D12" s="18">
        <v>3.5</v>
      </c>
      <c r="E12" s="17">
        <v>5.5</v>
      </c>
      <c r="F12" s="18" t="s">
        <v>528</v>
      </c>
      <c r="G12" s="17">
        <v>-3.5</v>
      </c>
      <c r="H12" s="18">
        <v>-5.5</v>
      </c>
      <c r="I12" s="18">
        <v>134.0</v>
      </c>
      <c r="J12" s="18">
        <v>135.5</v>
      </c>
      <c r="K12" s="21" t="str">
        <f t="shared" si="1"/>
        <v>marist (-3.5)</v>
      </c>
      <c r="L12" s="21">
        <f t="shared" si="2"/>
        <v>2</v>
      </c>
      <c r="M12" s="22" t="str">
        <f t="shared" si="3"/>
        <v>OVER 134</v>
      </c>
      <c r="N12" s="21">
        <f t="shared" si="4"/>
        <v>1.5</v>
      </c>
    </row>
    <row r="13">
      <c r="A13" s="24" t="s">
        <v>502</v>
      </c>
      <c r="B13" s="25" t="s">
        <v>520</v>
      </c>
      <c r="C13" s="17" t="s">
        <v>529</v>
      </c>
      <c r="D13" s="18">
        <v>4.0</v>
      </c>
      <c r="E13" s="17">
        <v>3.0</v>
      </c>
      <c r="F13" s="18" t="s">
        <v>530</v>
      </c>
      <c r="G13" s="17">
        <v>-4.0</v>
      </c>
      <c r="H13" s="18">
        <v>-3.0</v>
      </c>
      <c r="I13" s="18">
        <v>158.5</v>
      </c>
      <c r="J13" s="18">
        <v>159.0</v>
      </c>
      <c r="K13" s="21" t="str">
        <f t="shared" si="1"/>
        <v>murray_state (+4)</v>
      </c>
      <c r="L13" s="21">
        <f t="shared" si="2"/>
        <v>1</v>
      </c>
      <c r="M13" s="22" t="str">
        <f t="shared" si="3"/>
        <v>OVER 158.5</v>
      </c>
      <c r="N13" s="21">
        <f t="shared" si="4"/>
        <v>0.5</v>
      </c>
    </row>
    <row r="14">
      <c r="A14" s="24" t="s">
        <v>502</v>
      </c>
      <c r="B14" s="25" t="s">
        <v>520</v>
      </c>
      <c r="C14" s="17" t="s">
        <v>531</v>
      </c>
      <c r="D14" s="18">
        <v>7.5</v>
      </c>
      <c r="E14" s="17">
        <v>5.0</v>
      </c>
      <c r="F14" s="18" t="s">
        <v>532</v>
      </c>
      <c r="G14" s="17">
        <v>-7.5</v>
      </c>
      <c r="H14" s="18">
        <v>-5.0</v>
      </c>
      <c r="I14" s="18">
        <v>148.0</v>
      </c>
      <c r="J14" s="18">
        <v>153.5</v>
      </c>
      <c r="K14" s="21" t="str">
        <f t="shared" si="1"/>
        <v>charlotte (+7.5)</v>
      </c>
      <c r="L14" s="21">
        <f t="shared" si="2"/>
        <v>2.5</v>
      </c>
      <c r="M14" s="22" t="str">
        <f t="shared" si="3"/>
        <v>OVER 148</v>
      </c>
      <c r="N14" s="21">
        <f t="shared" si="4"/>
        <v>5.5</v>
      </c>
    </row>
    <row r="15">
      <c r="A15" s="24" t="s">
        <v>502</v>
      </c>
      <c r="B15" s="25" t="s">
        <v>520</v>
      </c>
      <c r="C15" s="17" t="s">
        <v>533</v>
      </c>
      <c r="D15" s="18">
        <v>-8.0</v>
      </c>
      <c r="E15" s="17">
        <v>-5.5</v>
      </c>
      <c r="F15" s="18" t="s">
        <v>534</v>
      </c>
      <c r="G15" s="17">
        <v>8.0</v>
      </c>
      <c r="H15" s="18">
        <v>5.5</v>
      </c>
      <c r="I15" s="18">
        <v>150.5</v>
      </c>
      <c r="J15" s="18">
        <v>148.5</v>
      </c>
      <c r="K15" s="21" t="str">
        <f t="shared" si="1"/>
        <v>east_carolina (+8)</v>
      </c>
      <c r="L15" s="21">
        <f t="shared" si="2"/>
        <v>2.5</v>
      </c>
      <c r="M15" s="22" t="str">
        <f t="shared" si="3"/>
        <v>UNDER 150.5</v>
      </c>
      <c r="N15" s="21">
        <f t="shared" si="4"/>
        <v>2</v>
      </c>
    </row>
    <row r="16">
      <c r="A16" s="24" t="s">
        <v>502</v>
      </c>
      <c r="B16" s="25" t="s">
        <v>520</v>
      </c>
      <c r="C16" s="17" t="s">
        <v>535</v>
      </c>
      <c r="D16" s="18">
        <v>-8.0</v>
      </c>
      <c r="E16" s="17">
        <v>-6.0</v>
      </c>
      <c r="F16" s="18" t="s">
        <v>536</v>
      </c>
      <c r="G16" s="17">
        <v>8.0</v>
      </c>
      <c r="H16" s="18">
        <v>6.0</v>
      </c>
      <c r="I16" s="18">
        <v>127.0</v>
      </c>
      <c r="J16" s="18">
        <v>131.5</v>
      </c>
      <c r="K16" s="21" t="str">
        <f t="shared" si="1"/>
        <v>niagara (+8)</v>
      </c>
      <c r="L16" s="21">
        <f t="shared" si="2"/>
        <v>2</v>
      </c>
      <c r="M16" s="22" t="str">
        <f t="shared" si="3"/>
        <v>OVER 127</v>
      </c>
      <c r="N16" s="21">
        <f t="shared" si="4"/>
        <v>4.5</v>
      </c>
    </row>
    <row r="17">
      <c r="A17" s="24" t="s">
        <v>502</v>
      </c>
      <c r="B17" s="25" t="s">
        <v>520</v>
      </c>
      <c r="C17" s="17" t="s">
        <v>537</v>
      </c>
      <c r="D17" s="18">
        <v>16.0</v>
      </c>
      <c r="E17" s="17">
        <v>18.0</v>
      </c>
      <c r="F17" s="18" t="s">
        <v>538</v>
      </c>
      <c r="G17" s="17">
        <v>-16.0</v>
      </c>
      <c r="H17" s="18">
        <v>-18.0</v>
      </c>
      <c r="I17" s="18">
        <v>137.5</v>
      </c>
      <c r="J17" s="18">
        <v>139.5</v>
      </c>
      <c r="K17" s="21" t="str">
        <f t="shared" si="1"/>
        <v>siena (-16)</v>
      </c>
      <c r="L17" s="21">
        <f t="shared" si="2"/>
        <v>2</v>
      </c>
      <c r="M17" s="22" t="str">
        <f t="shared" si="3"/>
        <v>OVER 137.5</v>
      </c>
      <c r="N17" s="21">
        <f t="shared" si="4"/>
        <v>2</v>
      </c>
    </row>
    <row r="18">
      <c r="A18" s="24" t="s">
        <v>502</v>
      </c>
      <c r="B18" s="25" t="s">
        <v>539</v>
      </c>
      <c r="C18" s="17" t="s">
        <v>540</v>
      </c>
      <c r="D18" s="18">
        <v>-4.0</v>
      </c>
      <c r="E18" s="17">
        <v>-4.5</v>
      </c>
      <c r="F18" s="18" t="s">
        <v>541</v>
      </c>
      <c r="G18" s="17">
        <v>4.0</v>
      </c>
      <c r="H18" s="18">
        <v>4.5</v>
      </c>
      <c r="I18" s="18">
        <v>139.0</v>
      </c>
      <c r="J18" s="18">
        <v>141.5</v>
      </c>
      <c r="K18" s="21" t="str">
        <f t="shared" si="1"/>
        <v>northern_iowa (-4)</v>
      </c>
      <c r="L18" s="21">
        <f t="shared" si="2"/>
        <v>0.5</v>
      </c>
      <c r="M18" s="22" t="str">
        <f t="shared" si="3"/>
        <v>OVER 139</v>
      </c>
      <c r="N18" s="21">
        <f t="shared" si="4"/>
        <v>2.5</v>
      </c>
    </row>
    <row r="19">
      <c r="A19" s="24" t="s">
        <v>502</v>
      </c>
      <c r="B19" s="25" t="s">
        <v>542</v>
      </c>
      <c r="C19" s="17" t="s">
        <v>543</v>
      </c>
      <c r="D19" s="18">
        <v>-3.5</v>
      </c>
      <c r="E19" s="17">
        <v>-7.0</v>
      </c>
      <c r="F19" s="18" t="s">
        <v>544</v>
      </c>
      <c r="G19" s="17">
        <v>3.5</v>
      </c>
      <c r="H19" s="18">
        <v>7.0</v>
      </c>
      <c r="I19" s="18">
        <v>144.5</v>
      </c>
      <c r="J19" s="18">
        <v>148.5</v>
      </c>
      <c r="K19" s="21" t="str">
        <f t="shared" si="1"/>
        <v>michigan_state (-3.5)</v>
      </c>
      <c r="L19" s="21">
        <f t="shared" si="2"/>
        <v>3.5</v>
      </c>
      <c r="M19" s="22" t="str">
        <f t="shared" si="3"/>
        <v>OVER 144.5</v>
      </c>
      <c r="N19" s="21">
        <f t="shared" si="4"/>
        <v>4</v>
      </c>
    </row>
    <row r="20">
      <c r="A20" s="24" t="s">
        <v>502</v>
      </c>
      <c r="B20" s="25" t="s">
        <v>545</v>
      </c>
      <c r="C20" s="17" t="s">
        <v>546</v>
      </c>
      <c r="D20" s="18">
        <v>4.0</v>
      </c>
      <c r="E20" s="17">
        <v>2.0</v>
      </c>
      <c r="F20" s="18" t="s">
        <v>547</v>
      </c>
      <c r="G20" s="17">
        <v>-4.0</v>
      </c>
      <c r="H20" s="18">
        <v>-2.0</v>
      </c>
      <c r="I20" s="18">
        <v>142.5</v>
      </c>
      <c r="J20" s="18">
        <v>148.5</v>
      </c>
      <c r="K20" s="21" t="str">
        <f t="shared" si="1"/>
        <v>depaul (+4)</v>
      </c>
      <c r="L20" s="21">
        <f t="shared" si="2"/>
        <v>2</v>
      </c>
      <c r="M20" s="22" t="str">
        <f t="shared" si="3"/>
        <v>OVER 142.5</v>
      </c>
      <c r="N20" s="21">
        <f t="shared" si="4"/>
        <v>6</v>
      </c>
    </row>
    <row r="21">
      <c r="A21" s="24" t="s">
        <v>502</v>
      </c>
      <c r="B21" s="25" t="s">
        <v>548</v>
      </c>
      <c r="C21" s="17" t="s">
        <v>549</v>
      </c>
      <c r="D21" s="18">
        <v>1.0</v>
      </c>
      <c r="E21" s="17">
        <v>-1.0</v>
      </c>
      <c r="F21" s="18" t="s">
        <v>550</v>
      </c>
      <c r="G21" s="17">
        <v>-1.0</v>
      </c>
      <c r="H21" s="18">
        <v>1.0</v>
      </c>
      <c r="I21" s="18">
        <v>151.0</v>
      </c>
      <c r="J21" s="18">
        <v>155.5</v>
      </c>
      <c r="K21" s="21" t="str">
        <f t="shared" si="1"/>
        <v>belmont (+1)</v>
      </c>
      <c r="L21" s="21">
        <f t="shared" si="2"/>
        <v>2</v>
      </c>
      <c r="M21" s="22" t="str">
        <f t="shared" si="3"/>
        <v>OVER 151</v>
      </c>
      <c r="N21" s="21">
        <f t="shared" si="4"/>
        <v>4.5</v>
      </c>
    </row>
    <row r="22">
      <c r="A22" s="24" t="s">
        <v>502</v>
      </c>
      <c r="B22" s="25" t="s">
        <v>551</v>
      </c>
      <c r="C22" s="17" t="s">
        <v>552</v>
      </c>
      <c r="D22" s="18">
        <v>4.0</v>
      </c>
      <c r="E22" s="17">
        <v>8.0</v>
      </c>
      <c r="F22" s="18" t="s">
        <v>553</v>
      </c>
      <c r="G22" s="17">
        <v>-4.0</v>
      </c>
      <c r="H22" s="18">
        <v>-8.0</v>
      </c>
      <c r="I22" s="18">
        <v>144.5</v>
      </c>
      <c r="J22" s="18">
        <v>147.5</v>
      </c>
      <c r="K22" s="21" t="str">
        <f t="shared" si="1"/>
        <v>nc_wilmington (-4)</v>
      </c>
      <c r="L22" s="21">
        <f t="shared" si="2"/>
        <v>4</v>
      </c>
      <c r="M22" s="22" t="str">
        <f t="shared" si="3"/>
        <v>OVER 144.5</v>
      </c>
      <c r="N22" s="21">
        <f t="shared" si="4"/>
        <v>3</v>
      </c>
    </row>
    <row r="23">
      <c r="A23" s="24" t="s">
        <v>502</v>
      </c>
      <c r="B23" s="25" t="s">
        <v>554</v>
      </c>
      <c r="C23" s="17" t="s">
        <v>555</v>
      </c>
      <c r="D23" s="18">
        <v>-15.0</v>
      </c>
      <c r="E23" s="17">
        <v>-19.0</v>
      </c>
      <c r="F23" s="18" t="s">
        <v>556</v>
      </c>
      <c r="G23" s="17">
        <v>15.0</v>
      </c>
      <c r="H23" s="18">
        <v>19.0</v>
      </c>
      <c r="I23" s="18">
        <v>149.5</v>
      </c>
      <c r="J23" s="18">
        <v>150.5</v>
      </c>
      <c r="K23" s="21" t="str">
        <f t="shared" si="1"/>
        <v>wichita_state (-15)</v>
      </c>
      <c r="L23" s="21">
        <f t="shared" si="2"/>
        <v>4</v>
      </c>
      <c r="M23" s="22" t="str">
        <f t="shared" si="3"/>
        <v>OVER 149.5</v>
      </c>
      <c r="N23" s="21">
        <f t="shared" si="4"/>
        <v>1</v>
      </c>
    </row>
    <row r="24">
      <c r="A24" s="24" t="s">
        <v>502</v>
      </c>
      <c r="B24" s="25" t="s">
        <v>545</v>
      </c>
      <c r="C24" s="17" t="s">
        <v>557</v>
      </c>
      <c r="D24" s="18">
        <v>-8.5</v>
      </c>
      <c r="E24" s="17">
        <v>-9.0</v>
      </c>
      <c r="F24" s="18" t="s">
        <v>558</v>
      </c>
      <c r="G24" s="17">
        <v>8.5</v>
      </c>
      <c r="H24" s="18">
        <v>9.0</v>
      </c>
      <c r="I24" s="18">
        <v>138.5</v>
      </c>
      <c r="J24" s="18">
        <v>137.5</v>
      </c>
      <c r="K24" s="21" t="str">
        <f t="shared" si="1"/>
        <v>southern_illinois (-8.5)</v>
      </c>
      <c r="L24" s="21">
        <f t="shared" si="2"/>
        <v>0.5</v>
      </c>
      <c r="M24" s="22" t="str">
        <f t="shared" si="3"/>
        <v>UNDER 138.5</v>
      </c>
      <c r="N24" s="21">
        <f t="shared" si="4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88"/>
    <col customWidth="1" min="4" max="4" width="21.25"/>
    <col customWidth="1" min="5" max="5" width="20.5"/>
    <col customWidth="1" min="6" max="6" width="24.0"/>
    <col customWidth="1" min="7" max="14" width="27.88"/>
  </cols>
  <sheetData>
    <row r="1">
      <c r="A1" s="23" t="s">
        <v>488</v>
      </c>
      <c r="B1" s="23" t="s">
        <v>489</v>
      </c>
      <c r="C1" s="23" t="s">
        <v>490</v>
      </c>
      <c r="D1" s="23" t="s">
        <v>491</v>
      </c>
      <c r="E1" s="23" t="s">
        <v>492</v>
      </c>
      <c r="F1" s="23" t="s">
        <v>493</v>
      </c>
      <c r="G1" s="23" t="s">
        <v>494</v>
      </c>
      <c r="H1" s="23" t="s">
        <v>496</v>
      </c>
      <c r="I1" s="23" t="s">
        <v>495</v>
      </c>
      <c r="J1" s="23" t="s">
        <v>497</v>
      </c>
      <c r="K1" s="23" t="s">
        <v>498</v>
      </c>
      <c r="L1" s="23" t="s">
        <v>499</v>
      </c>
      <c r="M1" s="23" t="s">
        <v>500</v>
      </c>
      <c r="N1" s="23" t="s">
        <v>501</v>
      </c>
    </row>
    <row r="2">
      <c r="A2" s="24" t="s">
        <v>559</v>
      </c>
      <c r="B2" s="25" t="s">
        <v>551</v>
      </c>
      <c r="C2" s="17" t="s">
        <v>560</v>
      </c>
      <c r="D2" s="18">
        <v>-9.5</v>
      </c>
      <c r="E2" s="17">
        <v>-10.5</v>
      </c>
      <c r="F2" s="18" t="s">
        <v>561</v>
      </c>
      <c r="G2" s="17">
        <v>9.5</v>
      </c>
      <c r="H2" s="18">
        <v>150.5</v>
      </c>
      <c r="I2" s="18">
        <v>10.5</v>
      </c>
      <c r="J2" s="18">
        <v>149.5</v>
      </c>
      <c r="K2" s="21" t="str">
        <f t="shared" ref="K2:K9" si="1">IF(L2=0,"PASS",IF(IF(G2="pk",0,G2)&gt;IF(I2="pk",0,I2),F2&amp;" ("&amp;IF(G2="pk","pk",IF(G2=INT(G2),TEXT(G2,"+0;-0"),TEXT(G2,"+0.0;-0.0")))&amp;")",C2&amp;" ("&amp;IF(D2="pk","pk",IF(D2=INT(D2),TEXT(D2,"+0;-0"),TEXT(D2,"+0.0;-0.0")))&amp;")"))</f>
        <v>duke (-9.5)</v>
      </c>
      <c r="L2" s="21">
        <f t="shared" ref="L2:L9" si="2">ABS(E2-D2)</f>
        <v>1</v>
      </c>
      <c r="M2" s="22" t="str">
        <f t="shared" ref="M2:M9" si="3">IF(N2=0,"PASS",IF(J2&gt;H2,"OVER "&amp;H2,IF(J2&lt;H2,"UNDER "&amp;H2,"0")))</f>
        <v>UNDER 150.5</v>
      </c>
      <c r="N2" s="21">
        <f t="shared" ref="N2:N9" si="4">ABS(J2-H2)</f>
        <v>1</v>
      </c>
    </row>
    <row r="3">
      <c r="A3" s="24" t="s">
        <v>559</v>
      </c>
      <c r="B3" s="25" t="s">
        <v>551</v>
      </c>
      <c r="C3" s="17" t="s">
        <v>562</v>
      </c>
      <c r="D3" s="18">
        <v>1.5</v>
      </c>
      <c r="E3" s="17">
        <v>3.0</v>
      </c>
      <c r="F3" s="18" t="s">
        <v>563</v>
      </c>
      <c r="G3" s="17">
        <v>-1.5</v>
      </c>
      <c r="H3" s="18">
        <v>168.5</v>
      </c>
      <c r="I3" s="18">
        <v>-3.0</v>
      </c>
      <c r="J3" s="18">
        <v>169.5</v>
      </c>
      <c r="K3" s="21" t="str">
        <f t="shared" si="1"/>
        <v>cleveland_state (-1.5)</v>
      </c>
      <c r="L3" s="21">
        <f t="shared" si="2"/>
        <v>1.5</v>
      </c>
      <c r="M3" s="22" t="str">
        <f t="shared" si="3"/>
        <v>OVER 168.5</v>
      </c>
      <c r="N3" s="21">
        <f t="shared" si="4"/>
        <v>1</v>
      </c>
    </row>
    <row r="4">
      <c r="A4" s="24" t="s">
        <v>559</v>
      </c>
      <c r="B4" s="25" t="s">
        <v>554</v>
      </c>
      <c r="C4" s="17" t="s">
        <v>564</v>
      </c>
      <c r="D4" s="18">
        <v>-6.5</v>
      </c>
      <c r="E4" s="17">
        <v>-4.0</v>
      </c>
      <c r="F4" s="18" t="s">
        <v>565</v>
      </c>
      <c r="G4" s="17">
        <v>6.5</v>
      </c>
      <c r="H4" s="18">
        <v>143.5</v>
      </c>
      <c r="I4" s="18">
        <v>4.0</v>
      </c>
      <c r="J4" s="18">
        <v>143.5</v>
      </c>
      <c r="K4" s="21" t="str">
        <f t="shared" si="1"/>
        <v>northern_arizona (+6.5)</v>
      </c>
      <c r="L4" s="21">
        <f t="shared" si="2"/>
        <v>2.5</v>
      </c>
      <c r="M4" s="22" t="str">
        <f t="shared" si="3"/>
        <v>PASS</v>
      </c>
      <c r="N4" s="21">
        <f t="shared" si="4"/>
        <v>0</v>
      </c>
    </row>
    <row r="5">
      <c r="A5" s="24" t="s">
        <v>559</v>
      </c>
      <c r="B5" s="25" t="s">
        <v>554</v>
      </c>
      <c r="C5" s="17" t="s">
        <v>566</v>
      </c>
      <c r="D5" s="18">
        <v>5.5</v>
      </c>
      <c r="E5" s="17">
        <v>6.5</v>
      </c>
      <c r="F5" s="18" t="s">
        <v>567</v>
      </c>
      <c r="G5" s="17">
        <v>-5.5</v>
      </c>
      <c r="H5" s="18">
        <v>154.5</v>
      </c>
      <c r="I5" s="18">
        <v>-6.5</v>
      </c>
      <c r="J5" s="18">
        <v>154.0</v>
      </c>
      <c r="K5" s="21" t="str">
        <f t="shared" si="1"/>
        <v>northern_colorado (-5.5)</v>
      </c>
      <c r="L5" s="21">
        <f t="shared" si="2"/>
        <v>1</v>
      </c>
      <c r="M5" s="22" t="str">
        <f t="shared" si="3"/>
        <v>UNDER 154.5</v>
      </c>
      <c r="N5" s="21">
        <f t="shared" si="4"/>
        <v>0.5</v>
      </c>
    </row>
    <row r="6">
      <c r="A6" s="24" t="s">
        <v>559</v>
      </c>
      <c r="B6" s="25" t="s">
        <v>568</v>
      </c>
      <c r="C6" s="17" t="s">
        <v>569</v>
      </c>
      <c r="D6" s="18">
        <v>7.5</v>
      </c>
      <c r="E6" s="17">
        <v>8.5</v>
      </c>
      <c r="F6" s="18" t="s">
        <v>570</v>
      </c>
      <c r="G6" s="17">
        <v>-7.5</v>
      </c>
      <c r="H6" s="18">
        <v>149.5</v>
      </c>
      <c r="I6" s="18">
        <v>-8.5</v>
      </c>
      <c r="J6" s="18">
        <v>147.0</v>
      </c>
      <c r="K6" s="21" t="str">
        <f t="shared" si="1"/>
        <v>arizona (-7.5)</v>
      </c>
      <c r="L6" s="21">
        <f t="shared" si="2"/>
        <v>1</v>
      </c>
      <c r="M6" s="22" t="str">
        <f t="shared" si="3"/>
        <v>UNDER 149.5</v>
      </c>
      <c r="N6" s="21">
        <f t="shared" si="4"/>
        <v>2.5</v>
      </c>
    </row>
    <row r="7">
      <c r="A7" s="24" t="s">
        <v>559</v>
      </c>
      <c r="B7" s="25" t="s">
        <v>568</v>
      </c>
      <c r="C7" s="17" t="s">
        <v>571</v>
      </c>
      <c r="D7" s="18">
        <v>3.5</v>
      </c>
      <c r="E7" s="17">
        <v>8.0</v>
      </c>
      <c r="F7" s="18" t="s">
        <v>572</v>
      </c>
      <c r="G7" s="17">
        <v>-3.5</v>
      </c>
      <c r="H7" s="18">
        <v>150.5</v>
      </c>
      <c r="I7" s="18">
        <v>-8.0</v>
      </c>
      <c r="J7" s="18">
        <v>150.0</v>
      </c>
      <c r="K7" s="21" t="str">
        <f t="shared" si="1"/>
        <v>eastern_washington (-3.5)</v>
      </c>
      <c r="L7" s="21">
        <f t="shared" si="2"/>
        <v>4.5</v>
      </c>
      <c r="M7" s="22" t="str">
        <f t="shared" si="3"/>
        <v>UNDER 150.5</v>
      </c>
      <c r="N7" s="21">
        <f t="shared" si="4"/>
        <v>0.5</v>
      </c>
    </row>
    <row r="8">
      <c r="A8" s="24" t="s">
        <v>559</v>
      </c>
      <c r="B8" s="25" t="s">
        <v>573</v>
      </c>
      <c r="C8" s="17" t="s">
        <v>574</v>
      </c>
      <c r="D8" s="18">
        <v>4.5</v>
      </c>
      <c r="E8" s="17">
        <v>7.0</v>
      </c>
      <c r="F8" s="18" t="s">
        <v>575</v>
      </c>
      <c r="G8" s="17">
        <v>-4.5</v>
      </c>
      <c r="H8" s="18">
        <v>144.5</v>
      </c>
      <c r="I8" s="18">
        <v>-7.0</v>
      </c>
      <c r="J8" s="18">
        <v>147.0</v>
      </c>
      <c r="K8" s="21" t="str">
        <f t="shared" si="1"/>
        <v>portland_state (-4.5)</v>
      </c>
      <c r="L8" s="21">
        <f t="shared" si="2"/>
        <v>2.5</v>
      </c>
      <c r="M8" s="22" t="str">
        <f t="shared" si="3"/>
        <v>OVER 144.5</v>
      </c>
      <c r="N8" s="21">
        <f t="shared" si="4"/>
        <v>2.5</v>
      </c>
    </row>
    <row r="9">
      <c r="A9" s="24" t="s">
        <v>559</v>
      </c>
      <c r="B9" s="25" t="s">
        <v>573</v>
      </c>
      <c r="C9" s="17" t="s">
        <v>576</v>
      </c>
      <c r="D9" s="18">
        <v>1.5</v>
      </c>
      <c r="E9" s="17">
        <v>5.0</v>
      </c>
      <c r="F9" s="18" t="s">
        <v>577</v>
      </c>
      <c r="G9" s="17">
        <v>-1.5</v>
      </c>
      <c r="H9" s="18">
        <v>160.5</v>
      </c>
      <c r="I9" s="18">
        <v>-5.0</v>
      </c>
      <c r="J9" s="18">
        <v>158.0</v>
      </c>
      <c r="K9" s="21" t="str">
        <f t="shared" si="1"/>
        <v>sacramento_state (-1.5)</v>
      </c>
      <c r="L9" s="21">
        <f t="shared" si="2"/>
        <v>3.5</v>
      </c>
      <c r="M9" s="22" t="str">
        <f t="shared" si="3"/>
        <v>UNDER 160.5</v>
      </c>
      <c r="N9" s="21">
        <f t="shared" si="4"/>
        <v>2.5</v>
      </c>
    </row>
  </sheetData>
  <drawing r:id="rId1"/>
</worksheet>
</file>